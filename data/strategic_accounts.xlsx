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 sheetId="1" r:id="rId5"/>
    <sheet state="visible" name="Defined Partner Tiers" sheetId="2" r:id="rId6"/>
    <sheet state="visible" name="All partners" sheetId="3" r:id="rId7"/>
    <sheet state="visible" name="Escalations" sheetId="4" r:id="rId8"/>
    <sheet state="visible" name="Analysis All Hands" sheetId="5" r:id="rId9"/>
  </sheets>
  <definedNames>
    <definedName hidden="1" localSheetId="2" name="_xlnm._FilterDatabase">'All partners'!$A$1:$W$463</definedName>
    <definedName hidden="1" localSheetId="2" name="Z_F9081E3E_31D5_42DE_94EA_8CFDD2108A0B_.wvu.FilterData">'All partners'!$A$1:$W$463</definedName>
    <definedName hidden="1" localSheetId="2" name="Z_01F4B8B3_4854_4333_BCBE_C01243E79D36_.wvu.FilterData">'All partners'!$A$1:$AK$297</definedName>
    <definedName hidden="1" localSheetId="2" name="Z_FA89BA65_3B7D_4491_8F0D_C6B47D39B30A_.wvu.FilterData">'All partners'!$A$1:$AK$357</definedName>
    <definedName hidden="1" localSheetId="2" name="Z_625C91E8_95AA_4F87_B4D7_DBE08AC842CD_.wvu.FilterData">'All partners'!$A$1:$AK$297</definedName>
    <definedName hidden="1" localSheetId="2" name="Z_F9B5DF04_4385_47B9_B0ED_F1369241D337_.wvu.FilterData">'All partners'!$A$1:$AK$297</definedName>
    <definedName hidden="1" localSheetId="2" name="Z_3306A14F_9F02_4FDC_A5AE_0449D5218EEE_.wvu.FilterData">'All partners'!$A$1:$AK$297</definedName>
  </definedNames>
  <calcPr/>
  <customWorkbookViews>
    <customWorkbookView activeSheetId="0" maximized="1" windowHeight="0" windowWidth="0" guid="{01F4B8B3-4854-4333-BCBE-C01243E79D36}" name="Filter 4"/>
    <customWorkbookView activeSheetId="0" maximized="1" windowHeight="0" windowWidth="0" guid="{FA89BA65-3B7D-4491-8F0D-C6B47D39B30A}" name="Filter 5"/>
    <customWorkbookView activeSheetId="0" maximized="1" windowHeight="0" windowWidth="0" guid="{F9081E3E-31D5-42DE-94EA-8CFDD2108A0B}" name="Aleks"/>
    <customWorkbookView activeSheetId="0" maximized="1" windowHeight="0" windowWidth="0" guid="{F9B5DF04-4385-47B9-B0ED-F1369241D337}" name="Filter 2"/>
    <customWorkbookView activeSheetId="0" maximized="1" windowHeight="0" windowWidth="0" guid="{625C91E8-95AA-4F87-B4D7-DBE08AC842CD}" name="Filter 3"/>
    <customWorkbookView activeSheetId="0" maximized="1" windowHeight="0" windowWidth="0" guid="{3306A14F-9F02-4FDC-A5AE-0449D5218EEE}" name="Filter 1"/>
  </customWorkbookViews>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tc={00444b52-8fc7-48e8-90d3-0a19a0939dd6}</author>
    <author>tc={babfc1f1-b676-4d9c-9c8a-81d61fdb8cc5}</author>
    <author>tc={c75489c6-26c6-4751-871e-7244fdd411e4}</author>
  </authors>
  <commentList>
    <comment authorId="0" xr:uid="{00444b52-8fc7-48e8-90d3-0a19a0939dd6}" ref="A1">
      <text>
        <t xml:space="preserve">[Threaded comment]
 Your version of Excel allows you to read this threaded comment; however, any edits to it will get removed if the file is opened in a newer version of Excel. Learn more: https://go.microsoft.com/fwlink/?linkid=870924
Comment:
	@talita@y.uno - please add your partners here. Make bold the ones which are done
Reply:
	done :)
Reply:
	Thank you, Tali!
</t>
      </text>
    </comment>
    <comment authorId="1" xr:uid="{babfc1f1-b676-4d9c-9c8a-81d61fdb8cc5}" ref="A1">
      <text>
        <t xml:space="preserve">[Threaded comment]
 Your version of Excel allows you to read this threaded comment; however, any edits to it will get removed if the file is opened in a newer version of Excel. Learn more: https://go.microsoft.com/fwlink/?linkid=870924
Comment:
	@beatriz.goncalves@y.uno and @jean@y.uno please link the July reports here for reference. @jean@y.uno We will use this spreadsheet going forward to keep track of all reports which go out to the partners.
1 total reaction
Deleted user reacted with 👍 at 2024-06-24 22:45 PM
Reply:
	perfect
1 total reaction
Deleted user reacted with 👍 at 2024-06-24 22:45 PM
</t>
      </text>
    </comment>
    <comment authorId="2" xr:uid="{c75489c6-26c6-4751-871e-7244fdd411e4}" ref="A1">
      <text>
        <t xml:space="preserve">[Threaded comment]
 Your version of Excel allows you to read this threaded comment; however, any edits to it will get removed if the file is opened in a newer version of Excel. Learn more: https://go.microsoft.com/fwlink/?linkid=870924
Comment:
	Entregar a tali la relacion con latam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tc={3b3a31a9-dcd1-48bf-b7ae-f49b9be2171a}</author>
    <author>tc={4ec2b1ff-7a32-45d5-ac13-088d7973ee58}</author>
    <author>tc={a9768653-8e13-42a3-88d6-61465d933aac}</author>
    <author>tc={e32eba5f-dafd-4842-9a46-7463691eae18}</author>
  </authors>
  <commentList>
    <comment authorId="0" xr:uid="{3b3a31a9-dcd1-48bf-b7ae-f49b9be2171a}" ref="C4">
      <text>
        <t xml:space="preserve">[Threaded comment]
 Your version of Excel allows you to read this threaded comment; however, any edits to it will get removed if the file is opened in a newer version of Excel. Learn more: https://go.microsoft.com/fwlink/?linkid=870924
Comment:
	Is there a difference between dedicated owner and dedicated partner manager?
</t>
      </text>
    </comment>
    <comment authorId="1" xr:uid="{4ec2b1ff-7a32-45d5-ac13-088d7973ee58}" ref="C5">
      <text>
        <t xml:space="preserve">[Threaded comment]
 Your version of Excel allows you to read this threaded comment; however, any edits to it will get removed if the file is opened in a newer version of Excel. Learn more: https://go.microsoft.com/fwlink/?linkid=870924
Comment:
	How can we manage this accounts when someone in sales wants to approach them? We will just have the contact but nobody within the company will be the main POC? Example: sales asking for someone in company X to ask if they can attend company Z, they can ask anyone in the partnerships side for support?
</t>
      </text>
    </comment>
    <comment authorId="2" xr:uid="{a9768653-8e13-42a3-88d6-61465d933aac}" ref="B2">
      <text>
        <t xml:space="preserve">[Threaded comment]
 Your version of Excel allows you to read this threaded comment; however, any edits to it will get removed if the file is opened in a newer version of Excel. Learn more: https://go.microsoft.com/fwlink/?linkid=870924
Comment:
	I don't know if multi-year agreements should count here, we always try to sign something that has automatic renewal but it doesn't make them strategic and vice-versa.
</t>
      </text>
    </comment>
    <comment authorId="3" xr:uid="{e32eba5f-dafd-4842-9a46-7463691eae18}" ref="A2">
      <text>
        <t xml:space="preserve">[Threaded comment]
 Your version of Excel allows you to read this threaded comment; however, any edits to it will get removed if the file is opened in a newer version of Excel. Learn more: https://go.microsoft.com/fwlink/?linkid=870924
Comment:
	Then strategic is only they are already live? Like Tier 1 converts to Strategic? or if we know that they will be strategic once we have a huge portfolio of merchants we put them like this?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tc={1175fc80-20f8-4c5a-8fb9-e15f0c110e7e}</author>
    <author>tc={13704a47-14be-4ade-abbd-caa5b48d6c86}</author>
    <author>tc={1c83199c-c26d-4732-8d70-04eddb6eceba}</author>
    <author>tc={487e43a8-4646-4700-9bfb-d406f313bffb}</author>
    <author>tc={634ae5fb-22a2-4e95-884d-ff9aca04e5de}</author>
    <author>tc={76664792-bc73-4151-a155-bd0143e83ccb}</author>
    <author>tc={7a65fc3a-1dab-458e-86f7-b3eaa07e8f6d}</author>
    <author>tc={ad5c02ff-e08d-498e-975b-6662df3306f2}</author>
    <author>tc={b7c5af17-dd24-4e1f-8ccc-44633b5a060c}</author>
    <author>tc={d745fbda-d1a6-4455-9eba-4f10350b9a8f}</author>
    <author>tc={dc18ada6-4d5d-4497-ba85-2d3a8973669c}</author>
    <author>tc={de2404a0-9658-4dbf-bd89-6606bbb00af6}</author>
    <author>tc={e9a352c7-1297-4f17-9cb4-1ad21064fce1}</author>
    <author>tc={ec9f49a9-2a84-4f02-bfc1-c150797e103d}</author>
    <author>tc={efd67c01-8167-4005-8082-48f6409b4581}</author>
    <author>tc={f520272a-5daf-4a3e-9ba3-7f8c5443c30e}</author>
  </authors>
  <commentList>
    <comment authorId="0" xr:uid="{1175fc80-20f8-4c5a-8fb9-e15f0c110e7e}" ref="M1">
      <text>
        <t xml:space="preserve">[Threaded comment]
 Your version of Excel allows you to read this threaded comment; however, any edits to it will get removed if the file is opened in a newer version of Excel. Learn more: https://go.microsoft.com/fwlink/?linkid=870924
Comment:
	@mariana@y.uno Ya esta de acuerdo a la informacion real que tengo en el forecast. Dicho eso, team @robert.oxley@y.uno @talita@y.uno @macarena.perez@y.uno porfas revisen sus cuentas porque si no he marcado 'Revshare contract' como true y si lo tienen firmado es porque tampoco lo han actualizado en el forecast (lo cual necesitamos tenemos al dia en la hoja 'Copy of Inputs Revenue Share'
Reply:
	@alessandra.rospigliosi@y.uno Listo!
Reply:
	Gracias!!
</t>
      </text>
    </comment>
    <comment authorId="1" xr:uid="{13704a47-14be-4ade-abbd-caa5b48d6c86}" ref="A70">
      <text>
        <t xml:space="preserve">[Threaded comment]
 Your version of Excel allows you to read this threaded comment; however, any edits to it will get removed if the file is opened in a newer version of Excel. Learn more: https://go.microsoft.com/fwlink/?linkid=870924
Comment:
	@ck@y.uno change to your end
</t>
      </text>
    </comment>
    <comment authorId="2" xr:uid="{1c83199c-c26d-4732-8d70-04eddb6eceba}" ref="K1">
      <text>
        <t xml:space="preserve">[Threaded comment]
 Your version of Excel allows you to read this threaded comment; however, any edits to it will get removed if the file is opened in a newer version of Excel. Learn more: https://go.microsoft.com/fwlink/?linkid=870924
Comment:
	@mariana@y.uno @gian.davila@y.uno La columna de integration y live partners ya esta actualizada quedaria revisar si realmente hay algunos que queremos 'kill'
Reply:
	Gracias @alessandra.rospigliosi@y.uno por completar esto para todo el equipo!
</t>
      </text>
    </comment>
    <comment authorId="3" xr:uid="{487e43a8-4646-4700-9bfb-d406f313bffb}" ref="C208">
      <text>
        <t xml:space="preserve">[Threaded comment]
 Your version of Excel allows you to read this threaded comment; however, any edits to it will get removed if the file is opened in a newer version of Excel. Learn more: https://go.microsoft.com/fwlink/?linkid=870924
Comment:
	to be confirm
</t>
      </text>
    </comment>
    <comment authorId="4" xr:uid="{634ae5fb-22a2-4e95-884d-ff9aca04e5de}" ref="F1">
      <text>
        <t xml:space="preserve">[Threaded comment]
 Your version of Excel allows you to read this threaded comment; however, any edits to it will get removed if the file is opened in a newer version of Excel. Learn more: https://go.microsoft.com/fwlink/?linkid=870924
Comment:
	@ck@y.uno what is type of management means?
Reply:
	If the partner is in "account management" means is a signed partner. But if the status is " Business development" means we do not have a partnership agreement signed and we are working to get the partner signed. @chee@y.uno
</t>
      </text>
    </comment>
    <comment authorId="5" xr:uid="{76664792-bc73-4151-a155-bd0143e83ccb}" ref="A8">
      <text>
        <t xml:space="preserve">[Threaded comment]
 Your version of Excel allows you to read this threaded comment; however, any edits to it will get removed if the file is opened in a newer version of Excel. Learn more: https://go.microsoft.com/fwlink/?linkid=870924
Comment:
	@johanderson.guevara@y.uno vc chegou a falar com o cara da Adiq novamente? eles estao dispostos a seguir com rev share?
Assigned to johanderson.guevara@y.uno
</t>
      </text>
    </comment>
    <comment authorId="6" xr:uid="{7a65fc3a-1dab-458e-86f7-b3eaa07e8f6d}" ref="A329">
      <text>
        <t xml:space="preserve">[Threaded comment]
 Your version of Excel allows you to read this threaded comment; however, any edits to it will get removed if the file is opened in a newer version of Excel. Learn more: https://go.microsoft.com/fwlink/?linkid=870924
Comment:
	@franklin.lo@y.uno , this deal has been signed, no?
Reply:
	it is signed. announcement is just released today
</t>
      </text>
    </comment>
    <comment authorId="7" xr:uid="{ad5c02ff-e08d-498e-975b-6662df3306f2}" ref="A448">
      <text>
        <t xml:space="preserve">[Threaded comment]
 Your version of Excel allows you to read this threaded comment; however, any edits to it will get removed if the file is opened in a newer version of Excel. Learn more: https://go.microsoft.com/fwlink/?linkid=870924
Comment:
	Agentic commerce ask about it
</t>
      </text>
    </comment>
    <comment authorId="8" xr:uid="{b7c5af17-dd24-4e1f-8ccc-44633b5a060c}" ref="A209">
      <text>
        <t xml:space="preserve">[Threaded comment]
 Your version of Excel allows you to read this threaded comment; however, any edits to it will get removed if the file is opened in a newer version of Excel. Learn more: https://go.microsoft.com/fwlink/?linkid=870924
Comment:
	Agreement NA , for EU &amp; APAC we would need to negotiate once a merchant is requesting. Currently hold a letter of intent
</t>
      </text>
    </comment>
    <comment authorId="9" xr:uid="{d745fbda-d1a6-4455-9eba-4f10350b9a8f}" ref="A23">
      <text>
        <t xml:space="preserve">[Threaded comment]
 Your version of Excel allows you to read this threaded comment; however, any edits to it will get removed if the file is opened in a newer version of Excel. Learn more: https://go.microsoft.com/fwlink/?linkid=870924
Comment:
	@alessandra.rospigliosi@y.uno no tenemos a ningún comercio con Astropay?
Assigned to alessandra.rospigliosi@y.uno
Reply:
	Segun Metabase, no tenemos nada conectado con ellos
</t>
      </text>
    </comment>
    <comment authorId="10" xr:uid="{dc18ada6-4d5d-4497-ba85-2d3a8973669c}" ref="A438">
      <text>
        <t xml:space="preserve">[Threaded comment]
 Your version of Excel allows you to read this threaded comment; however, any edits to it will get removed if the file is opened in a newer version of Excel. Learn more: https://go.microsoft.com/fwlink/?linkid=870924
Comment:
	@talita@y.uno have removed from kill list as I'm about to sign Volt EU
Reply:
	@robert.oxley@y.uno Ok!
</t>
      </text>
    </comment>
    <comment authorId="11" xr:uid="{de2404a0-9658-4dbf-bd89-6606bbb00af6}" ref="A118">
      <text>
        <t xml:space="preserve">[Threaded comment]
 Your version of Excel allows you to read this threaded comment; however, any edits to it will get removed if the file is opened in a newer version of Excel. Learn more: https://go.microsoft.com/fwlink/?linkid=870924
Comment:
	Most important wallet in Indonesia
</t>
      </text>
    </comment>
    <comment authorId="12" xr:uid="{e9a352c7-1297-4f17-9cb4-1ad21064fce1}" ref="A409">
      <text>
        <t xml:space="preserve">[Threaded comment]
 Your version of Excel allows you to read this threaded comment; however, any edits to it will get removed if the file is opened in a newer version of Excel. Learn more: https://go.microsoft.com/fwlink/?linkid=870924
Comment:
	buscarlos x mi lado
</t>
      </text>
    </comment>
    <comment authorId="13" xr:uid="{ec9f49a9-2a84-4f02-bfc1-c150797e103d}" ref="A466">
      <text>
        <t xml:space="preserve">[Threaded comment]
 Your version of Excel allows you to read this threaded comment; however, any edits to it will get removed if the file is opened in a newer version of Excel. Learn more: https://go.microsoft.com/fwlink/?linkid=870924
Comment:
	@daniela.reyes@y.uno Tripple A is missing  :)
Assigned to daniela.reyes@y.uno
</t>
      </text>
    </comment>
    <comment authorId="14" xr:uid="{efd67c01-8167-4005-8082-48f6409b4581}" ref="A11">
      <text>
        <t xml:space="preserve">[Threaded comment]
 Your version of Excel allows you to read this threaded comment; however, any edits to it will get removed if the file is opened in a newer version of Excel. Learn more: https://go.microsoft.com/fwlink/?linkid=870924
Comment:
	Ver con mastercard (Tali)
</t>
      </text>
    </comment>
    <comment authorId="15" xr:uid="{f520272a-5daf-4a3e-9ba3-7f8c5443c30e}" ref="A274">
      <text>
        <t xml:space="preserve">[Threaded comment]
 Your version of Excel allows you to read this threaded comment; however, any edits to it will get removed if the file is opened in a newer version of Excel. Learn more: https://go.microsoft.com/fwlink/?linkid=870924
Comment:
	@francisco.quintana@y.uno do we have a contract in place? Or is this you aiming for a global contract?
Reply:
	@mariana@y.uno can you please give us visibility of this?
Reply:
	I have a lot of contact around the world
Reply:
	Nuvei is my account so far
</t>
      </text>
    </comment>
  </commentList>
</comments>
</file>

<file path=xl/sharedStrings.xml><?xml version="1.0" encoding="utf-8"?>
<sst xmlns="http://schemas.openxmlformats.org/spreadsheetml/2006/main" count="4148" uniqueCount="760">
  <si>
    <t>New Deal Owner</t>
  </si>
  <si>
    <t>Strategic AM</t>
  </si>
  <si>
    <t>Non Strategic AM</t>
  </si>
  <si>
    <t>AM Accounts</t>
  </si>
  <si>
    <t>Non-Strategic Deals to Close</t>
  </si>
  <si>
    <t>Strategic Deals to Close</t>
  </si>
  <si>
    <t>Total Accounts</t>
  </si>
  <si>
    <t>Strategic Partners</t>
  </si>
  <si>
    <t>Daniela Reyes</t>
  </si>
  <si>
    <t>Door Openers, Ahead of the Curve, Innovators, Local Must-Have, Regulators</t>
  </si>
  <si>
    <t>Johanderson Guevara</t>
  </si>
  <si>
    <t>Talita Diaz Gama</t>
  </si>
  <si>
    <t>Tier 1 : Strong Demand</t>
  </si>
  <si>
    <t>Mariana Castellanos</t>
  </si>
  <si>
    <t xml:space="preserve">Strong local footprint as top payment provider locally. Popular by Merchant Demand </t>
  </si>
  <si>
    <t>Francisco Quintana</t>
  </si>
  <si>
    <t>Alessandra Rospigliosi</t>
  </si>
  <si>
    <t>Tier 2 Partners (Country/Region Specific)</t>
  </si>
  <si>
    <t>Franklin</t>
  </si>
  <si>
    <t>Payplug (EU), Yape (PE), Redeban (CO)</t>
  </si>
  <si>
    <t>Europe</t>
  </si>
  <si>
    <t>Not assigned</t>
  </si>
  <si>
    <t>Total</t>
  </si>
  <si>
    <t>Tier 3 Partners</t>
  </si>
  <si>
    <t>High Risk Partners</t>
  </si>
  <si>
    <t xml:space="preserve">Astropay, Bayonet, Belvo, Cielo, Circle, Conekta, D24, Epoch, Fintoc, Flutterwave, Ibex, Khipu, Kount, PayU, Kushki, LexisNexis, Mercado Pago, Monnet Payments, Niubiz, OpenPay Mexico, PagSeguro Internacional, PagSmile, PayCash, PayPhone, PayPlug, PayRetailers, PaySafe, PayValida, Pinbank, Rocketfuel, SafetyPay, Shift4, STP, Unico, Unlimit, Vesta, OKTO Payment
</t>
  </si>
  <si>
    <t>Others: Partners outside Acquirers, PSPs, APMs</t>
  </si>
  <si>
    <t>Partner Tier</t>
  </si>
  <si>
    <t>Description/ Definition</t>
  </si>
  <si>
    <t>Engagement Model:</t>
  </si>
  <si>
    <t>Contracts</t>
  </si>
  <si>
    <t>Examples</t>
  </si>
  <si>
    <t xml:space="preserve">Strategic Partners: Very important
</t>
  </si>
  <si>
    <t>- Deep technical and commercial integration
- Executive-level sponsorship on both sides
- Joint roadmap planning and co-innovation
- Significant revenue impact or platform dependency</t>
  </si>
  <si>
    <t xml:space="preserve">- Dedicated partner manager
- Regular Cadence
- Quarterly executive business reviews
- Joint GTM, marketing, and product initiatives </t>
  </si>
  <si>
    <t xml:space="preserve">Must- Have
Length: Yuno to remain flexible &amp; adapt to strategic partner </t>
  </si>
  <si>
    <t>Checkout
Stripe
dLocal</t>
  </si>
  <si>
    <t>Tier 1: Important</t>
  </si>
  <si>
    <t>- High-value/ High Demand (Local Popular Payment Method) 
- Scalable partners that materially contribute to revenue, 
- Must have for Geographic Expansion</t>
  </si>
  <si>
    <t>- Dedicated partner manager
- Regular Cadence
- Quarterly executive business reviews
- Joint GTM, marketing, and product initiatives
- Performance-based growth plans (Joint KPIs)</t>
  </si>
  <si>
    <t>Tier 2: Specific to a vertical or country (light touch)</t>
  </si>
  <si>
    <t>- Tactical or niche value
- Moderate transaction volume
- Limited roadmap alignment
- Opportunity-driven engagement</t>
  </si>
  <si>
    <t>- Dedicated Owner
- Monthly Cadence
- Quarterly or Bi-Annual Business Reviews
- GTM only if Vertical-specific w/ Commercial Teams</t>
  </si>
  <si>
    <t>Tier 3: Not relevant for wider Yuno (light touch)</t>
  </si>
  <si>
    <t>- Partners are transactional or experimental partners that provide optional capabilities with:
- low volume, 
- limited engagement, and 
- minimal operational dependency</t>
  </si>
  <si>
    <t>- Self-service or automated support
- Dedicated Owner (low touch)
- Periodic health checks only
- Review potential exit criteria 2x year (house keeping)</t>
  </si>
  <si>
    <t>Non-managed partners (we need to find a home)</t>
  </si>
  <si>
    <t>Fraud, 3Ds, PayOuts, PlugIns, KYC etc</t>
  </si>
  <si>
    <t>Provider</t>
  </si>
  <si>
    <t>Country</t>
  </si>
  <si>
    <t>Region</t>
  </si>
  <si>
    <t>Deal Stage</t>
  </si>
  <si>
    <t>Partner offering (acquirer, APM, Fraud etc)</t>
  </si>
  <si>
    <t>Type of Management</t>
  </si>
  <si>
    <t>Partner Manager</t>
  </si>
  <si>
    <t>Strategic?</t>
  </si>
  <si>
    <t>NDA Signed and in drive</t>
  </si>
  <si>
    <t>KYP Status</t>
  </si>
  <si>
    <t>Integration Ready by Yuno</t>
  </si>
  <si>
    <t>Integration Used by Merchants</t>
  </si>
  <si>
    <t>Revshare Contract</t>
  </si>
  <si>
    <t>Revshare active</t>
  </si>
  <si>
    <t>Review to kill agreement</t>
  </si>
  <si>
    <t>Type of Partner</t>
  </si>
  <si>
    <t>Salesforce</t>
  </si>
  <si>
    <t>Airtable</t>
  </si>
  <si>
    <t>Reports</t>
  </si>
  <si>
    <t>Invoice Rev Share</t>
  </si>
  <si>
    <t>Pricing Requests</t>
  </si>
  <si>
    <t>Comments</t>
  </si>
  <si>
    <t>Account Plan</t>
  </si>
  <si>
    <t xml:space="preserve">2C2P / Ant Intl </t>
  </si>
  <si>
    <t>Global</t>
  </si>
  <si>
    <t>APAC</t>
  </si>
  <si>
    <t>Agreement Signed</t>
  </si>
  <si>
    <t>Acquirer</t>
  </si>
  <si>
    <t>Account Management</t>
  </si>
  <si>
    <t>Lily/ Daniela</t>
  </si>
  <si>
    <t>Strategic Partners: Very Important</t>
  </si>
  <si>
    <t>54pay/PayGate</t>
  </si>
  <si>
    <t>Regional</t>
  </si>
  <si>
    <t>Africa</t>
  </si>
  <si>
    <t>PSP/Aggregator</t>
  </si>
  <si>
    <t>ABSA Bank</t>
  </si>
  <si>
    <t>EMEA</t>
  </si>
  <si>
    <t>Opportunity Identification</t>
  </si>
  <si>
    <t>Business Development</t>
  </si>
  <si>
    <t>Tier 2 Partners</t>
  </si>
  <si>
    <t>[Space X project, Africa]</t>
  </si>
  <si>
    <t>Accertify</t>
  </si>
  <si>
    <t>Initial Negotiation</t>
  </si>
  <si>
    <t>Fraud Provider</t>
  </si>
  <si>
    <t>Quieren firmar agreement solo cuando tengamos caso de uso</t>
  </si>
  <si>
    <t>Acuotaz</t>
  </si>
  <si>
    <t>Peru</t>
  </si>
  <si>
    <t>LATAM</t>
  </si>
  <si>
    <t>Other</t>
  </si>
  <si>
    <t>BNPL - not relevant</t>
  </si>
  <si>
    <t>Addi</t>
  </si>
  <si>
    <t>Colombia</t>
  </si>
  <si>
    <t>Live Partner</t>
  </si>
  <si>
    <t>APM</t>
  </si>
  <si>
    <t>Adiq Pagamentos</t>
  </si>
  <si>
    <t>Brasil</t>
  </si>
  <si>
    <t>Adyen</t>
  </si>
  <si>
    <t>Tier 1 Partners (Global)</t>
  </si>
  <si>
    <t>Airtable by Ale</t>
  </si>
  <si>
    <t>Adyen debe de pasar a la getnet de Europa</t>
  </si>
  <si>
    <t>Afirme</t>
  </si>
  <si>
    <t>Mexico</t>
  </si>
  <si>
    <t>North America</t>
  </si>
  <si>
    <t xml:space="preserve">Afirme works through our Prosa integration. </t>
  </si>
  <si>
    <t>Aiia by Mastercard</t>
  </si>
  <si>
    <t xml:space="preserve">Tier 1 Partners </t>
  </si>
  <si>
    <t>Open Banking</t>
  </si>
  <si>
    <t>Airwallex APAC</t>
  </si>
  <si>
    <t xml:space="preserve">Airwallex USA/ LATAM </t>
  </si>
  <si>
    <t>USA</t>
  </si>
  <si>
    <t>Alelo Brasil</t>
  </si>
  <si>
    <t>Alignet</t>
  </si>
  <si>
    <t>acquirer/BNPL - They have operations in mmore LATAM countries</t>
  </si>
  <si>
    <t>AllinPay (International)</t>
  </si>
  <si>
    <t>Agreement Review</t>
  </si>
  <si>
    <t>Amazon Pay</t>
  </si>
  <si>
    <t>They are changing their complete strategy and they want to continue conversations in two months - February (12.01)</t>
  </si>
  <si>
    <t>American Express</t>
  </si>
  <si>
    <t>They will never have a revsahre</t>
  </si>
  <si>
    <t>Aplazo</t>
  </si>
  <si>
    <t>Apple Pay</t>
  </si>
  <si>
    <t>Asaas</t>
  </si>
  <si>
    <t>AsiaPay</t>
  </si>
  <si>
    <t>Ale/Lily</t>
  </si>
  <si>
    <t>Astropay</t>
  </si>
  <si>
    <t>Au10tix</t>
  </si>
  <si>
    <t>Non-managed Partners</t>
  </si>
  <si>
    <t xml:space="preserve">KYP solution, no se les ha presentado a nadie. </t>
  </si>
  <si>
    <t>Avenia</t>
  </si>
  <si>
    <t>BaaS</t>
  </si>
  <si>
    <t>Product Partners (3Ds, Plugins))</t>
  </si>
  <si>
    <t>Azify</t>
  </si>
  <si>
    <t>Azul</t>
  </si>
  <si>
    <t>Republica Dominicana</t>
  </si>
  <si>
    <t>Lost</t>
  </si>
  <si>
    <t>B2E</t>
  </si>
  <si>
    <t>Baaskit</t>
  </si>
  <si>
    <t>Chile</t>
  </si>
  <si>
    <t>We will reopen conversations when we have a BC</t>
  </si>
  <si>
    <t>BAC International Bank</t>
  </si>
  <si>
    <t>Bamboo Payments</t>
  </si>
  <si>
    <t>Banbajío</t>
  </si>
  <si>
    <t>Bancard</t>
  </si>
  <si>
    <t>Paraguai</t>
  </si>
  <si>
    <t>Banco BHD Leon</t>
  </si>
  <si>
    <t>Banco Bradesco</t>
  </si>
  <si>
    <t>Banco BS2</t>
  </si>
  <si>
    <t>Banco BV | Banly</t>
  </si>
  <si>
    <t>Banco de Bogotá</t>
  </si>
  <si>
    <t>Banco de Quyaquil</t>
  </si>
  <si>
    <t>Ecuador</t>
  </si>
  <si>
    <t>Banco do Brasil</t>
  </si>
  <si>
    <t>Banco Estado de Chile</t>
  </si>
  <si>
    <t>Banco Galicia / Nave</t>
  </si>
  <si>
    <t>Argentina</t>
  </si>
  <si>
    <t>Revisando NDA</t>
  </si>
  <si>
    <t>Banco Genial</t>
  </si>
  <si>
    <t>Banco Mercantil</t>
  </si>
  <si>
    <t>Venezuela</t>
  </si>
  <si>
    <t>Banco Rendimento</t>
  </si>
  <si>
    <t>Banco Santander (Brasil) S.A.</t>
  </si>
  <si>
    <t>Bancolombia</t>
  </si>
  <si>
    <t>Bancontact</t>
  </si>
  <si>
    <t>Belgium</t>
  </si>
  <si>
    <t>Bank Frick</t>
  </si>
  <si>
    <t>Liechtenstein</t>
  </si>
  <si>
    <t>Only to be integrated</t>
  </si>
  <si>
    <t>Bank of America</t>
  </si>
  <si>
    <t>Banorte</t>
  </si>
  <si>
    <t>Banregio</t>
  </si>
  <si>
    <t>Barclays PLC</t>
  </si>
  <si>
    <t>UK</t>
  </si>
  <si>
    <t>Barte</t>
  </si>
  <si>
    <t xml:space="preserve">Basis Theory </t>
  </si>
  <si>
    <t>Agreement Signed - Only referrals</t>
  </si>
  <si>
    <t xml:space="preserve">Just referral agreement, not for integration </t>
  </si>
  <si>
    <t>Bayonet.io</t>
  </si>
  <si>
    <t>BAZ / Banco Azteca</t>
  </si>
  <si>
    <t>BBVA Colombia</t>
  </si>
  <si>
    <t>BBVA México</t>
  </si>
  <si>
    <t>Belvo</t>
  </si>
  <si>
    <t>Bepsa (Bepsa del Paraguay SAEC)</t>
  </si>
  <si>
    <t>Billdesk</t>
  </si>
  <si>
    <t>Partha</t>
  </si>
  <si>
    <t>Binance Pay</t>
  </si>
  <si>
    <t>Reviewing by compliance</t>
  </si>
  <si>
    <t>Yes</t>
  </si>
  <si>
    <t>We have sent our agreement back to them with the DPA with comments. Push message to know the status of the agreement and KYP (19.3)</t>
  </si>
  <si>
    <t>Bitso</t>
  </si>
  <si>
    <t>bKash</t>
  </si>
  <si>
    <t xml:space="preserve">Blik </t>
  </si>
  <si>
    <t>Poland</t>
  </si>
  <si>
    <t>We cannot integrate them directly if we don't have a PSP license</t>
  </si>
  <si>
    <t>BlueSnap</t>
  </si>
  <si>
    <t>Blumonpay</t>
  </si>
  <si>
    <t>Boku Inc - New Deal</t>
  </si>
  <si>
    <t>Boomfi</t>
  </si>
  <si>
    <t>Non-qualified Partner</t>
  </si>
  <si>
    <t>Bren</t>
  </si>
  <si>
    <t>Brinta</t>
  </si>
  <si>
    <t xml:space="preserve">TAX solution, sirve mas para comercios chicos que no tengan un area contabilidad. Hasta ahora nunca se ha pedido ni se les ha presentado a nadie. Cerramos contrato en 2023. </t>
  </si>
  <si>
    <t>Brite</t>
  </si>
  <si>
    <t>We need UK entity or a business case to close the agreement</t>
  </si>
  <si>
    <t>BTG Pactual BR</t>
  </si>
  <si>
    <t>BVNK</t>
  </si>
  <si>
    <t>ByBit</t>
  </si>
  <si>
    <t>Done</t>
  </si>
  <si>
    <t>No</t>
  </si>
  <si>
    <t>C6</t>
  </si>
  <si>
    <t>we signed NDA for the POS project in Brazil, this should be product</t>
  </si>
  <si>
    <t>Carry1st</t>
  </si>
  <si>
    <t>Cashfree</t>
  </si>
  <si>
    <t>India</t>
  </si>
  <si>
    <t>NDA signed. Ask Dani to put me in the thread so we can continue the conversation (16.3)</t>
  </si>
  <si>
    <t>Celcoin</t>
  </si>
  <si>
    <t>Chargeback 911</t>
  </si>
  <si>
    <t>Chargeflow</t>
  </si>
  <si>
    <t>Checkout</t>
  </si>
  <si>
    <t>Checkout MENA</t>
  </si>
  <si>
    <t>Dani was asking for the lead of Russia and Africa (19.3)</t>
  </si>
  <si>
    <t>CIBC</t>
  </si>
  <si>
    <t>Canada</t>
  </si>
  <si>
    <t>Cielo</t>
  </si>
  <si>
    <t>Circle</t>
  </si>
  <si>
    <t xml:space="preserve">Global </t>
  </si>
  <si>
    <t xml:space="preserve">Crypto, no se les ha presentado a nadie. Firmamos contrato en 2023 </t>
  </si>
  <si>
    <t>Clearbank</t>
  </si>
  <si>
    <t>Clearpay</t>
  </si>
  <si>
    <t>ClearSale BR</t>
  </si>
  <si>
    <t>ClearSale LATAM</t>
  </si>
  <si>
    <t>Latam</t>
  </si>
  <si>
    <t>Cleo</t>
  </si>
  <si>
    <t>CMI</t>
  </si>
  <si>
    <t>Morroco</t>
  </si>
  <si>
    <t>NA</t>
  </si>
  <si>
    <t>Ask by Smartfit in the past (They prefer Dlocal) (19.01)</t>
  </si>
  <si>
    <t>Cobre</t>
  </si>
  <si>
    <t>Cobro Digital</t>
  </si>
  <si>
    <t>Coda Payment</t>
  </si>
  <si>
    <t>Fran/Lily</t>
  </si>
  <si>
    <t>They havent sent information</t>
  </si>
  <si>
    <t>NDA Signed. Email sent to discuss next steps with them (17.3)</t>
  </si>
  <si>
    <t xml:space="preserve">CoinFlow </t>
  </si>
  <si>
    <t>Coinpayments</t>
  </si>
  <si>
    <t>CoinsPaid</t>
  </si>
  <si>
    <t>Crypto, no se les ha presentado a nadie.</t>
  </si>
  <si>
    <t>CoinSub</t>
  </si>
  <si>
    <t>Colibrix</t>
  </si>
  <si>
    <t>Comercia / CaixaBank (Redsys)</t>
  </si>
  <si>
    <t>Spain</t>
  </si>
  <si>
    <t>CommerceGate</t>
  </si>
  <si>
    <t>Conduit</t>
  </si>
  <si>
    <t>Demo done. They want to do an event with us (9.3)</t>
  </si>
  <si>
    <t xml:space="preserve">Confirmo </t>
  </si>
  <si>
    <t>Crypto providers</t>
  </si>
  <si>
    <t>ConnexPay</t>
  </si>
  <si>
    <t>Coppel Pay</t>
  </si>
  <si>
    <t>Credibanco</t>
  </si>
  <si>
    <t>Creditea</t>
  </si>
  <si>
    <t>Creditop</t>
  </si>
  <si>
    <t>Crypto.com</t>
  </si>
  <si>
    <t>Culqi</t>
  </si>
  <si>
    <t>acquirer - we can try to negotiate a rev share agreement</t>
  </si>
  <si>
    <t>Cumbuca</t>
  </si>
  <si>
    <t>Cuotealo BCP</t>
  </si>
  <si>
    <t>BNPL</t>
  </si>
  <si>
    <t>Cybersource</t>
  </si>
  <si>
    <t>Conversations regarding 3DS solutions. This is being handled by Bea (16.3)</t>
  </si>
  <si>
    <t>D24</t>
  </si>
  <si>
    <t>DANA</t>
  </si>
  <si>
    <t>Datafast</t>
  </si>
  <si>
    <t>Datransfer</t>
  </si>
  <si>
    <t>Daviplata</t>
  </si>
  <si>
    <t>Davivienda</t>
  </si>
  <si>
    <t>DeUna Wallet</t>
  </si>
  <si>
    <t>Devtects</t>
  </si>
  <si>
    <t>DGFT</t>
  </si>
  <si>
    <t>Japan</t>
  </si>
  <si>
    <t>NDA Signed and KYP ready. Reviewing the agreement with finance team from our side (19.3)</t>
  </si>
  <si>
    <t xml:space="preserve">Digitnite </t>
  </si>
  <si>
    <t>Turkey</t>
  </si>
  <si>
    <t>NDA Signed. Agreement and KYP sent to them after negotiating the commercial terms (19.3)</t>
  </si>
  <si>
    <t>Diners Club del Ecuador</t>
  </si>
  <si>
    <t>Discover</t>
  </si>
  <si>
    <t>DLocal</t>
  </si>
  <si>
    <t>Strategic Partner</t>
  </si>
  <si>
    <t>Do Payments</t>
  </si>
  <si>
    <t>Dock</t>
  </si>
  <si>
    <t>Doku</t>
  </si>
  <si>
    <t>Indonesia</t>
  </si>
  <si>
    <t>DolarApp Pay</t>
  </si>
  <si>
    <t>Druo</t>
  </si>
  <si>
    <t>Ebanx</t>
  </si>
  <si>
    <t>PSP + acquirer high risk - llamada con Juan</t>
  </si>
  <si>
    <t>Ebury</t>
  </si>
  <si>
    <t>Se enfocan en FX y no estamos en el money flow</t>
  </si>
  <si>
    <t>Ecobank</t>
  </si>
  <si>
    <t>Ecommpay</t>
  </si>
  <si>
    <t>ECPay</t>
  </si>
  <si>
    <t>Taiwan</t>
  </si>
  <si>
    <t xml:space="preserve">Edenred </t>
  </si>
  <si>
    <t>Edenred BR</t>
  </si>
  <si>
    <t>Edenred TK</t>
  </si>
  <si>
    <t>BDM needs to sign the agreement with Uber. If that happens, they’re open to do a partnership with us, but Uber must confirm to them that the connection will be handled through us (16.2)</t>
  </si>
  <si>
    <t>Efecty</t>
  </si>
  <si>
    <t>https://docs.google.com/document/d/1wxx6ta4fFpdgjJ3rSo5TbprJS6XR6cjQ/edit</t>
  </si>
  <si>
    <t>Efevoo Pay</t>
  </si>
  <si>
    <t>Einpays</t>
  </si>
  <si>
    <t>Elavon, Inc.</t>
  </si>
  <si>
    <t>United States</t>
  </si>
  <si>
    <t>Elo</t>
  </si>
  <si>
    <t>Emerchant Pay</t>
  </si>
  <si>
    <t>Epag</t>
  </si>
  <si>
    <t>Epayco</t>
  </si>
  <si>
    <t>Epoch</t>
  </si>
  <si>
    <t>They do not want to work with an orquestrator at this time</t>
  </si>
  <si>
    <t>ETPay</t>
  </si>
  <si>
    <t>Evo Payments</t>
  </si>
  <si>
    <t>f</t>
  </si>
  <si>
    <t>FAC/Powertranz</t>
  </si>
  <si>
    <t>FacilitaPay</t>
  </si>
  <si>
    <t>FEMSA - Oxxo Pay</t>
  </si>
  <si>
    <t>Fexco</t>
  </si>
  <si>
    <t xml:space="preserve">DCC for an specific merchant </t>
  </si>
  <si>
    <t>Fidelity Marketing</t>
  </si>
  <si>
    <t>No estrategico</t>
  </si>
  <si>
    <t>FinFan</t>
  </si>
  <si>
    <t>Vietnam</t>
  </si>
  <si>
    <t>Fintoc</t>
  </si>
  <si>
    <t>Fiserv APAC</t>
  </si>
  <si>
    <t>Lily</t>
  </si>
  <si>
    <t>Fiserv Argentina</t>
  </si>
  <si>
    <t>Llamada con Guiseppe</t>
  </si>
  <si>
    <t>Fiserv BR</t>
  </si>
  <si>
    <t>Fiserv EMEA</t>
  </si>
  <si>
    <t>Fiserv MX</t>
  </si>
  <si>
    <t>Fiserv Uruguay</t>
  </si>
  <si>
    <t>Uruguay</t>
  </si>
  <si>
    <t>Fitbank</t>
  </si>
  <si>
    <t>Fiuu.com</t>
  </si>
  <si>
    <t>They sent new information</t>
  </si>
  <si>
    <t>We had a call with them today and they will revert back with the agreement and KYP news of what they can provided us (17.3)</t>
  </si>
  <si>
    <t>Floid</t>
  </si>
  <si>
    <t>Flutterwave</t>
  </si>
  <si>
    <t>Discussing the press release between our marketing team and their marketing team (16.3)</t>
  </si>
  <si>
    <t>Forter</t>
  </si>
  <si>
    <t>Fraudio</t>
  </si>
  <si>
    <t xml:space="preserve">Airtable by Ale </t>
  </si>
  <si>
    <t>Fraude, no se les ha presentado a nadie</t>
  </si>
  <si>
    <t>Fuze</t>
  </si>
  <si>
    <t>Crypto Provider (27.01)</t>
  </si>
  <si>
    <t>Galaxy</t>
  </si>
  <si>
    <t>They dont have any API to be connected. They do Blockchain infrastructure solutions</t>
  </si>
  <si>
    <t>Garanti BBVA Bank</t>
  </si>
  <si>
    <t>Waiting for legal consulting document approval and I will share it with them (27.2)</t>
  </si>
  <si>
    <t>Gatekeeperx</t>
  </si>
  <si>
    <t>Geidea</t>
  </si>
  <si>
    <t>Resuming the conversations with them in Q3 (23.2)</t>
  </si>
  <si>
    <t>Getnet BR</t>
  </si>
  <si>
    <t>GetNet Global</t>
  </si>
  <si>
    <t>Glassdata</t>
  </si>
  <si>
    <t>No estrategico - busco contacto</t>
  </si>
  <si>
    <t>Global Payments</t>
  </si>
  <si>
    <t>GMO</t>
  </si>
  <si>
    <t>Google A2A</t>
  </si>
  <si>
    <t>Google Pay</t>
  </si>
  <si>
    <t>Gpay</t>
  </si>
  <si>
    <t>Reviewing a triple agreement with Elekse, GPay and Yuno. Ugur is going to discuss this with them today  (16.3)</t>
  </si>
  <si>
    <t>Gueno</t>
  </si>
  <si>
    <t>HandsIn</t>
  </si>
  <si>
    <t>Hecto Financial</t>
  </si>
  <si>
    <t>Korea</t>
  </si>
  <si>
    <t>Hipay</t>
  </si>
  <si>
    <t>Share commercial agreement corrected with them the 7.12 (Push message 30.12)</t>
  </si>
  <si>
    <t>HitPay</t>
  </si>
  <si>
    <t>HSBC BR</t>
  </si>
  <si>
    <t>HSBC EU</t>
  </si>
  <si>
    <t>HSBC MX/ Global Payments</t>
  </si>
  <si>
    <t>HyperPay</t>
  </si>
  <si>
    <t>NDA ALREADY SIGNED. Push for the commercials so we can introduce Beyond One (16.3)</t>
  </si>
  <si>
    <t>Ibex</t>
  </si>
  <si>
    <t>iDeal</t>
  </si>
  <si>
    <t>Netherlands</t>
  </si>
  <si>
    <t>Ingenico</t>
  </si>
  <si>
    <t>Iniciador</t>
  </si>
  <si>
    <t>Inovio Gateway</t>
  </si>
  <si>
    <t>Inswitch</t>
  </si>
  <si>
    <t>INXY Payments</t>
  </si>
  <si>
    <t>IPSP.KZ</t>
  </si>
  <si>
    <t>Itaú Unibanco</t>
  </si>
  <si>
    <t>Iugu</t>
  </si>
  <si>
    <t>Izipay</t>
  </si>
  <si>
    <t>acquirer, uno de los pocos en Peru - no pagan rev share</t>
  </si>
  <si>
    <t>Izyco</t>
  </si>
  <si>
    <t>Ugur is pushing to have a dinner with him so we are able to sign a partnership agreement with them (9.3)</t>
  </si>
  <si>
    <t>Jiko</t>
  </si>
  <si>
    <t>JP Morgan chase APAC</t>
  </si>
  <si>
    <t>JP Morgan chase USA</t>
  </si>
  <si>
    <t>Jumio</t>
  </si>
  <si>
    <t>Justt</t>
  </si>
  <si>
    <t>Kamin</t>
  </si>
  <si>
    <t>Kasikorn Global Payment</t>
  </si>
  <si>
    <t>Khipu</t>
  </si>
  <si>
    <t>Kinetic</t>
  </si>
  <si>
    <t>They are not answering</t>
  </si>
  <si>
    <t>Klap</t>
  </si>
  <si>
    <t>Klarna</t>
  </si>
  <si>
    <t xml:space="preserve">Koin BR </t>
  </si>
  <si>
    <t>Koin Latam</t>
  </si>
  <si>
    <t>Konduto</t>
  </si>
  <si>
    <t>Korea Cyber Payment (KCP)</t>
  </si>
  <si>
    <t>Kount (Equifax)</t>
  </si>
  <si>
    <t>Kueski</t>
  </si>
  <si>
    <t>Kushki</t>
  </si>
  <si>
    <t>LatamGateway</t>
  </si>
  <si>
    <t>LexisNexis</t>
  </si>
  <si>
    <t>Ya lo vamos a integrar por privacy</t>
  </si>
  <si>
    <t>Lian Lian</t>
  </si>
  <si>
    <t>Lidio</t>
  </si>
  <si>
    <t>Agreement signed. National Holiday in Turkey during this week waiting for garena response (16.3)</t>
  </si>
  <si>
    <t>Limepay</t>
  </si>
  <si>
    <t>LinePay</t>
  </si>
  <si>
    <t>Thailand</t>
  </si>
  <si>
    <t>Livelo Pay</t>
  </si>
  <si>
    <t>Local Payment</t>
  </si>
  <si>
    <t>Mach Pay</t>
  </si>
  <si>
    <t>MassPay</t>
  </si>
  <si>
    <t>Mastercard</t>
  </si>
  <si>
    <t xml:space="preserve">Mastercard APAC </t>
  </si>
  <si>
    <t>Mastercard BR</t>
  </si>
  <si>
    <t>Mastercard MENA</t>
  </si>
  <si>
    <t>The relationship is going to be lead by Nicolas Duarte from MC side, he will connect us in case is necessary with someone in the region (26.2)</t>
  </si>
  <si>
    <t>Maya</t>
  </si>
  <si>
    <t>Phillipines</t>
  </si>
  <si>
    <t>Not Started</t>
  </si>
  <si>
    <t>NDA ready for signature. We ask for the person signing the NDA so we can send it to them (19.3)</t>
  </si>
  <si>
    <t>Medianet</t>
  </si>
  <si>
    <t>MercadoPago</t>
  </si>
  <si>
    <t>MercadoPago BR</t>
  </si>
  <si>
    <t>MetropolCard</t>
  </si>
  <si>
    <t>Minka</t>
  </si>
  <si>
    <t>Mobbex</t>
  </si>
  <si>
    <t>No tenemos un contrato de partnerships</t>
  </si>
  <si>
    <t>Mobilepay / Vipps</t>
  </si>
  <si>
    <t>Mollie</t>
  </si>
  <si>
    <t>MonedaPay</t>
  </si>
  <si>
    <t>Finishing signing the agreement and doing a partnership (12.01). No one is asking for it, it was a Rober topic and the POC changed</t>
  </si>
  <si>
    <t>Moneris</t>
  </si>
  <si>
    <t>Canadá</t>
  </si>
  <si>
    <t>Monext</t>
  </si>
  <si>
    <t>France</t>
  </si>
  <si>
    <t>Monnet Payments</t>
  </si>
  <si>
    <t>Monoova</t>
  </si>
  <si>
    <t>Australia</t>
  </si>
  <si>
    <t>More Payments / Uniteller</t>
  </si>
  <si>
    <t>Movii</t>
  </si>
  <si>
    <t>Moyasar</t>
  </si>
  <si>
    <t>They cant use a 3DS standalone, we are exploring other options for BO (13.3)</t>
  </si>
  <si>
    <t>Multinet Up</t>
  </si>
  <si>
    <t>Mural Pay</t>
  </si>
  <si>
    <t>Nequi</t>
  </si>
  <si>
    <t>Net Protections</t>
  </si>
  <si>
    <t>NetPay</t>
  </si>
  <si>
    <t>Netstars</t>
  </si>
  <si>
    <t>On hold for JPP Vacations</t>
  </si>
  <si>
    <t>NDA Signed. KYP started, asked to Chee to put me in the thread (19.3)</t>
  </si>
  <si>
    <t>Network International</t>
  </si>
  <si>
    <t>They are reviewing if they can work with orchestrator, the first message was no (12.3)</t>
  </si>
  <si>
    <t>Nexi</t>
  </si>
  <si>
    <t>Niubiz</t>
  </si>
  <si>
    <t>Nium</t>
  </si>
  <si>
    <t>To check with chee next week (13.3)</t>
  </si>
  <si>
    <t>NODA</t>
  </si>
  <si>
    <t>Nomupay</t>
  </si>
  <si>
    <t>Notolityx (KYC)</t>
  </si>
  <si>
    <t>Novalnet</t>
  </si>
  <si>
    <t>NTTD</t>
  </si>
  <si>
    <t>NuPay</t>
  </si>
  <si>
    <t xml:space="preserve">Nuvei </t>
  </si>
  <si>
    <t>Nuvei EMEA</t>
  </si>
  <si>
    <t>We discuss Turkey 3DS, but they don´t cover the market (23.2)</t>
  </si>
  <si>
    <t>Nuvei LATAM</t>
  </si>
  <si>
    <t>Nuvei USA</t>
  </si>
  <si>
    <t>OceanPay</t>
  </si>
  <si>
    <t>OKTO Payments</t>
  </si>
  <si>
    <t>Onafriq</t>
  </si>
  <si>
    <t>Onfido (KYC)</t>
  </si>
  <si>
    <t>KYC, no se les ha presentado a nadie</t>
  </si>
  <si>
    <t>OpenCo</t>
  </si>
  <si>
    <t>OpenNode</t>
  </si>
  <si>
    <t>Crypto, no se les ha presentado a nadie</t>
  </si>
  <si>
    <t>OpenPay Colombia</t>
  </si>
  <si>
    <t>Airtable by Ale/switch para BBVA</t>
  </si>
  <si>
    <t>OpenPay Mexico</t>
  </si>
  <si>
    <t>OpenPay Peru</t>
  </si>
  <si>
    <t>Opn Payments (Omise)</t>
  </si>
  <si>
    <t>Talk with Lilly to allign on this one (16.3)</t>
  </si>
  <si>
    <t>Pagaleve</t>
  </si>
  <si>
    <t>Pagalo</t>
  </si>
  <si>
    <t>Pagar.me</t>
  </si>
  <si>
    <t>PagBank Brasil</t>
  </si>
  <si>
    <t>Llamada con Edgar</t>
  </si>
  <si>
    <t>PagBrasil</t>
  </si>
  <si>
    <t>PagoPar</t>
  </si>
  <si>
    <t>PagoPlux</t>
  </si>
  <si>
    <t>PagSeguro Latam</t>
  </si>
  <si>
    <t>PagSmile</t>
  </si>
  <si>
    <t>Pandablue</t>
  </si>
  <si>
    <t>Papara</t>
  </si>
  <si>
    <t>They lost their license so for now we are not continuing the process with them (16.2)</t>
  </si>
  <si>
    <t>PARAM</t>
  </si>
  <si>
    <t>We introduce them a lead but they reject it (24.2)</t>
  </si>
  <si>
    <t>Pay Trades</t>
  </si>
  <si>
    <t>Llamada con Belen</t>
  </si>
  <si>
    <t>Pay10</t>
  </si>
  <si>
    <t>UAE</t>
  </si>
  <si>
    <t>NDA ALREADY SIGNED. They didnt want to provide the majority of the KYP documentation and very closed to change things in the agreement that over commit us. Not important so in hold (13.3)</t>
  </si>
  <si>
    <t>Pay4Fun</t>
  </si>
  <si>
    <t>Payabl</t>
  </si>
  <si>
    <t xml:space="preserve">To integrate we need to pay them a fee of EUR 5K </t>
  </si>
  <si>
    <t>Payamigo</t>
  </si>
  <si>
    <t>Tenemos call la semana que viene para ver agreement</t>
  </si>
  <si>
    <t>Payaza</t>
  </si>
  <si>
    <t>Paybrokers</t>
  </si>
  <si>
    <t>Abrir la relacion en EU</t>
  </si>
  <si>
    <t>PayCash</t>
  </si>
  <si>
    <t>Paycomet/ banco sabadell (Redsys)</t>
  </si>
  <si>
    <t>Paycore</t>
  </si>
  <si>
    <t>Waiting for their pricing regarding 3DS solution. This week is a national holiday in Turkey (16.3)</t>
  </si>
  <si>
    <t>Payfuture</t>
  </si>
  <si>
    <t>APMs for emerging countries</t>
  </si>
  <si>
    <t>Paylater</t>
  </si>
  <si>
    <t>Qatar</t>
  </si>
  <si>
    <t>On hold for now until the situation is better in ME (9.3)</t>
  </si>
  <si>
    <t>PayMee</t>
  </si>
  <si>
    <t>Llamada con Gaby</t>
  </si>
  <si>
    <t>Payments Way</t>
  </si>
  <si>
    <t xml:space="preserve">NO pagaron como clientes no los vamos a cerrar como partners. </t>
  </si>
  <si>
    <t>Paymentwall</t>
  </si>
  <si>
    <t>Return to them when we have a BC</t>
  </si>
  <si>
    <t>Paymob</t>
  </si>
  <si>
    <t>KYP Done. We are waiting their documentation we all ready sent their our PCI certification and waiting also the agreement (16.3)</t>
  </si>
  <si>
    <t>Payoneer</t>
  </si>
  <si>
    <t>Paypal / Braintree</t>
  </si>
  <si>
    <t>PayPal/ Braintree BR</t>
  </si>
  <si>
    <t>PayPhone</t>
  </si>
  <si>
    <t>No se les ha presentado a nadie, los estuvimos buscando para que nos envien su Deck durante varios meses y nunca tuvimos respuesta</t>
  </si>
  <si>
    <t>Payplug</t>
  </si>
  <si>
    <t>Follow Up al contrato y ver si nos dan una llamda</t>
  </si>
  <si>
    <t>PayRetailers</t>
  </si>
  <si>
    <t>Payreto</t>
  </si>
  <si>
    <t>PaySafe Europe / Skrill</t>
  </si>
  <si>
    <t xml:space="preserve">Necesitamos una entidad en europa para cerrar este </t>
  </si>
  <si>
    <t>Paysafe USA</t>
  </si>
  <si>
    <t>PaySquad (Partnerships Deal)</t>
  </si>
  <si>
    <t>Paystack by Stripe</t>
  </si>
  <si>
    <t>Paytabs</t>
  </si>
  <si>
    <t>Sent the last version of the agreement only one comment open regarding payment dates (16.3)</t>
  </si>
  <si>
    <t>PayTR</t>
  </si>
  <si>
    <t>Waiting for one signature from their side. National holiday will delay it for next week (16.3)</t>
  </si>
  <si>
    <t>PayU</t>
  </si>
  <si>
    <t>PayU APAC</t>
  </si>
  <si>
    <t>PayValida</t>
  </si>
  <si>
    <t>PayWay/Prisma</t>
  </si>
  <si>
    <t>Payzen/Lyra</t>
  </si>
  <si>
    <t>Paze</t>
  </si>
  <si>
    <t>PicPay</t>
  </si>
  <si>
    <t>Pinbank</t>
  </si>
  <si>
    <t>PingPong</t>
  </si>
  <si>
    <t>China</t>
  </si>
  <si>
    <t>PlacetoPay by Evertec</t>
  </si>
  <si>
    <t>Plaid</t>
  </si>
  <si>
    <t>Pluxee</t>
  </si>
  <si>
    <t>Pockyt</t>
  </si>
  <si>
    <t>PPRO</t>
  </si>
  <si>
    <t>Precision</t>
  </si>
  <si>
    <t>Primefy</t>
  </si>
  <si>
    <t>Sold the company no longer existing</t>
  </si>
  <si>
    <t>Privy (owned by Stripe)</t>
  </si>
  <si>
    <t>Estructura compleja, habria que ver con product si se puede integrar</t>
  </si>
  <si>
    <t>Procard S.A.</t>
  </si>
  <si>
    <t>ProntoPaga</t>
  </si>
  <si>
    <t>Prosa</t>
  </si>
  <si>
    <t xml:space="preserve">We will never have revhsare with them. They are a domestic switch provider of services, not a normal partner. </t>
  </si>
  <si>
    <t>Protect Group</t>
  </si>
  <si>
    <t>Publicala</t>
  </si>
  <si>
    <t>Puntos Colombia</t>
  </si>
  <si>
    <t>Puntoxpress</t>
  </si>
  <si>
    <t>QubePay</t>
  </si>
  <si>
    <t>R4 Banco Microfinanciero</t>
  </si>
  <si>
    <t>Scheduling a DEMO - first steps</t>
  </si>
  <si>
    <t>Raiffeisen Bank</t>
  </si>
  <si>
    <t>Serbia, Albania, Bosnia. [Space X project]</t>
  </si>
  <si>
    <t>Rapyd</t>
  </si>
  <si>
    <t>RazorPay</t>
  </si>
  <si>
    <t>They want us to sent them more leads until the moment we have introduce things to them but they are expensive and the T14 doesnt help. Discussing this with Chee (17.3)</t>
  </si>
  <si>
    <t>Recargapay</t>
  </si>
  <si>
    <t>RedDot Pay</t>
  </si>
  <si>
    <t>Rede</t>
  </si>
  <si>
    <t>Redeban</t>
  </si>
  <si>
    <t>Llamada con nuevo POC</t>
  </si>
  <si>
    <t>Redeban Peru</t>
  </si>
  <si>
    <t>Redsys (&amp; 7 local banks)</t>
  </si>
  <si>
    <t>Refácil</t>
  </si>
  <si>
    <t>Revolut</t>
  </si>
  <si>
    <t>Riskified (Fraud exception)</t>
  </si>
  <si>
    <t>Strategic, good rev share</t>
  </si>
  <si>
    <t>Riverty</t>
  </si>
  <si>
    <t>Rixsus</t>
  </si>
  <si>
    <t>Safe2Pay</t>
  </si>
  <si>
    <t>SafetyPay</t>
  </si>
  <si>
    <t>SafraPay</t>
  </si>
  <si>
    <t>Samsung Pay</t>
  </si>
  <si>
    <t>Sardine</t>
  </si>
  <si>
    <t>Scalapay</t>
  </si>
  <si>
    <t>SEON</t>
  </si>
  <si>
    <t>Set Card</t>
  </si>
  <si>
    <t>BDM needs to sign the agreement with Uber. If that happens, they’re open to do a partnership with us, but Uber must confirm to them that the connection will be handled through us (16.2)1</t>
  </si>
  <si>
    <t>Shift 4/ Finaro</t>
  </si>
  <si>
    <t>ShopeePay</t>
  </si>
  <si>
    <t>Shopify</t>
  </si>
  <si>
    <t>Plug-In</t>
  </si>
  <si>
    <t>Shopline</t>
  </si>
  <si>
    <t>Singapore</t>
  </si>
  <si>
    <t>SIBS</t>
  </si>
  <si>
    <t>Portugal</t>
  </si>
  <si>
    <t>Sift</t>
  </si>
  <si>
    <t>Llamada con Dobrin</t>
  </si>
  <si>
    <t>Signifyd</t>
  </si>
  <si>
    <t>Signifyd BR</t>
  </si>
  <si>
    <t>Silverflow (Product)</t>
  </si>
  <si>
    <t>Simpaisa</t>
  </si>
  <si>
    <t>South Asia</t>
  </si>
  <si>
    <t>Sipay</t>
  </si>
  <si>
    <t>Sistecrédito</t>
  </si>
  <si>
    <t xml:space="preserve">Cancelaron el contrato porque nunca les presentamos a nadie. </t>
  </si>
  <si>
    <t>SMCC</t>
  </si>
  <si>
    <t>SolidGate</t>
  </si>
  <si>
    <t>They see us as their competitors so we are not going to work with them</t>
  </si>
  <si>
    <t>Spayce</t>
  </si>
  <si>
    <t>Stanbic / Standard Bank</t>
  </si>
  <si>
    <t>StarkBank</t>
  </si>
  <si>
    <t>Stone</t>
  </si>
  <si>
    <t>STP</t>
  </si>
  <si>
    <t>Stripe</t>
  </si>
  <si>
    <t>Sumsub (kyc)</t>
  </si>
  <si>
    <t>TabaPay</t>
  </si>
  <si>
    <t>Tabby</t>
  </si>
  <si>
    <t>Going live with them with Beyond One. Ask them about merchants and leads they can send us (16.3)</t>
  </si>
  <si>
    <t>Tamara</t>
  </si>
  <si>
    <t>Not going to sent for now</t>
  </si>
  <si>
    <t>Integration will be prioritized this week (16.3)</t>
  </si>
  <si>
    <t>Tap Payments</t>
  </si>
  <si>
    <t>I need answer regarding Uber and Whop for the partner (16.3). Ask at end of week</t>
  </si>
  <si>
    <t>Tappay</t>
  </si>
  <si>
    <t>Tazapay</t>
  </si>
  <si>
    <t>Agreement signed (12.3) and they are going live with By No games. I need to alligned with them</t>
  </si>
  <si>
    <t>Telr</t>
  </si>
  <si>
    <t>NDA sent for signature (17.3). National hoiliday can delay commercial negotiation for next week</t>
  </si>
  <si>
    <t xml:space="preserve">TerraPay </t>
  </si>
  <si>
    <t>Bank payouts in GCC, we dont have any BC for them (16.2)</t>
  </si>
  <si>
    <t>Thawani Pay</t>
  </si>
  <si>
    <t>Oman</t>
  </si>
  <si>
    <t>NDA ALREADY SIGNED. We have go to sign an agreement. How ever national holiday we will delay it for next week (18.3)</t>
  </si>
  <si>
    <t>Thunes</t>
  </si>
  <si>
    <t>Local payins to local payouts for x-border(wallets, banks, mobil etc). We don´t have a BC for them now (16.2)</t>
  </si>
  <si>
    <t>Ticket Edenred BR</t>
  </si>
  <si>
    <t>Tink by Visa</t>
  </si>
  <si>
    <t>Tipalti (Payout)</t>
  </si>
  <si>
    <t>Payouts for an specific merchant</t>
  </si>
  <si>
    <t>Tokenflex</t>
  </si>
  <si>
    <t>Toss Payments</t>
  </si>
  <si>
    <t>Toss Payments (being acquired by ANT INTL</t>
  </si>
  <si>
    <t>S. Korea</t>
  </si>
  <si>
    <t>Totalnet (ex-Visanet)</t>
  </si>
  <si>
    <t>Tpaga</t>
  </si>
  <si>
    <t>Trace Finance</t>
  </si>
  <si>
    <t>Transbank</t>
  </si>
  <si>
    <t>Transfeera</t>
  </si>
  <si>
    <t>Transfero</t>
  </si>
  <si>
    <t>Triple-A</t>
  </si>
  <si>
    <t>TrueLayer</t>
  </si>
  <si>
    <t>TRUORA</t>
  </si>
  <si>
    <t>Enfocado en KYC de personas fisicas, no empresas, no relevante ahora mismo</t>
  </si>
  <si>
    <t>Trust Payments</t>
  </si>
  <si>
    <t>TrustDecision</t>
  </si>
  <si>
    <t>Trustly</t>
  </si>
  <si>
    <t>Unico</t>
  </si>
  <si>
    <t>UniCredit Bank</t>
  </si>
  <si>
    <t>Albania, Bosnia. [Space X project]</t>
  </si>
  <si>
    <t>Unlimit</t>
  </si>
  <si>
    <t>VaultsPay</t>
  </si>
  <si>
    <t>They don´t want to sign an agreement with us until we have a BC (16.2)</t>
  </si>
  <si>
    <t>Ventipay</t>
  </si>
  <si>
    <t>Verifone</t>
  </si>
  <si>
    <t>They are not answering us. Is a nice logo but MoR fees are very high (16.2)</t>
  </si>
  <si>
    <t>Vero (Banrisul)</t>
  </si>
  <si>
    <t>Vesta (Fraud)</t>
  </si>
  <si>
    <t>VGS (Product)</t>
  </si>
  <si>
    <t>Vindi</t>
  </si>
  <si>
    <t>Visa</t>
  </si>
  <si>
    <t>We are speaking with them regarding Visa ready certification budget and 3DS (12.3)</t>
  </si>
  <si>
    <t>Visa BR</t>
  </si>
  <si>
    <t>Volt BR</t>
  </si>
  <si>
    <t>agreement signed an integrated, but closed operation in bR</t>
  </si>
  <si>
    <t>Volt Global</t>
  </si>
  <si>
    <t>VR Beneficios</t>
  </si>
  <si>
    <t>VTEX BR</t>
  </si>
  <si>
    <t>VTEX Latam</t>
  </si>
  <si>
    <t>Wake Commerce</t>
  </si>
  <si>
    <t>Walapay</t>
  </si>
  <si>
    <t>WCTPay</t>
  </si>
  <si>
    <t>We Chat Pay Tencent</t>
  </si>
  <si>
    <t>APAC/EMEA</t>
  </si>
  <si>
    <t>Having a call on Monday with Vivian (19.03) to alling on the initiative</t>
  </si>
  <si>
    <t>WEpayments</t>
  </si>
  <si>
    <t>Wero</t>
  </si>
  <si>
    <t>Wibond</t>
  </si>
  <si>
    <t>Windcave</t>
  </si>
  <si>
    <t>Wompi</t>
  </si>
  <si>
    <t>Woovi</t>
  </si>
  <si>
    <t>Worldline</t>
  </si>
  <si>
    <t>WorldPay</t>
  </si>
  <si>
    <t xml:space="preserve">Worldpay decided not to move forward with us. </t>
  </si>
  <si>
    <t>Xendit</t>
  </si>
  <si>
    <t>Waiting for the agreement signed from their side (16.3)</t>
  </si>
  <si>
    <t>Yape</t>
  </si>
  <si>
    <t>no vamos a firmar nada - no están abiertos a negociar directamente con clientes porque tiene equipo chico/están solo con PSPs/acquirers</t>
  </si>
  <si>
    <t>Yipi</t>
  </si>
  <si>
    <t>Zain Cash</t>
  </si>
  <si>
    <t>Iraq</t>
  </si>
  <si>
    <t>Waiting for confirmation so we can sign an agreement with them (6.3)</t>
  </si>
  <si>
    <t>Zen</t>
  </si>
  <si>
    <t>Zenki</t>
  </si>
  <si>
    <t xml:space="preserve">Zesta / 8b / Carussel </t>
  </si>
  <si>
    <t>Central Asia</t>
  </si>
  <si>
    <t xml:space="preserve">KYP and integration for a particular client </t>
  </si>
  <si>
    <t>ZION JOINT STOCK COMPANY</t>
  </si>
  <si>
    <t>Zoop</t>
  </si>
  <si>
    <t>Action Required</t>
  </si>
  <si>
    <t>Next Steps</t>
  </si>
  <si>
    <t>Dani Read Y/N</t>
  </si>
  <si>
    <t>Solved</t>
  </si>
  <si>
    <t>GPay</t>
  </si>
  <si>
    <t>MENAT</t>
  </si>
  <si>
    <t>All the information provided in the KYP originates from another company; they are unwilling to disclose their relationship with that entity. There are many red flags, and the provider feels quite sketchy. As a solution, we asked Ugur and Elif to speak with the merchant to see if this volume can be redirected. Dani, I’ve tagged you on the thread with Legal that contains all the detailed information.</t>
  </si>
  <si>
    <t>We have yet to decide on the final move. Justo already has visibility, but we are aligning expectations and the action plan for this partner is still to be decided</t>
  </si>
  <si>
    <t>We are all ready live with them and we dont have an agreement. Iraq could be a troubled juridiction</t>
  </si>
  <si>
    <t>We need to aligned with Diego and Justo how to handle this topic and that they introduce us a POC</t>
  </si>
  <si>
    <t>COUNTA of Provider</t>
  </si>
  <si>
    <t>Grand Total</t>
  </si>
  <si>
    <t>Brazil</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</si>
</sst>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color rgb="FFFFFFFF"/>
      <name val="Arial"/>
    </font>
    <font>
      <b/>
      <color rgb="FFFFFFFF"/>
      <name val="Arial"/>
      <scheme val="minor"/>
    </font>
    <font>
      <b/>
      <color theme="1"/>
      <name val="Arial"/>
      <scheme val="minor"/>
    </font>
    <font>
      <color theme="1"/>
      <name val="Arial"/>
    </font>
    <font>
      <b/>
      <color theme="1"/>
      <name val="Arial"/>
    </font>
    <font>
      <u/>
      <color rgb="FF0000FF"/>
      <name val="Arial"/>
    </font>
    <font>
      <u/>
      <color rgb="FF0000FF"/>
      <name val="Arial"/>
    </font>
    <font>
      <u/>
      <color rgb="FF0000FF"/>
    </font>
    <font>
      <u/>
      <color rgb="FF0000FF"/>
      <name val="Arial"/>
    </font>
    <font>
      <color rgb="FF000000"/>
      <name val="Arial"/>
    </font>
    <font>
      <u/>
      <color rgb="FF0000FF"/>
      <name val="Arial"/>
    </font>
  </fonts>
  <fills count="21">
    <fill>
      <patternFill patternType="none"/>
    </fill>
    <fill>
      <patternFill patternType="lightGray"/>
    </fill>
    <fill>
      <patternFill patternType="solid">
        <fgColor rgb="FF674EA7"/>
        <bgColor rgb="FF674EA7"/>
      </patternFill>
    </fill>
    <fill>
      <patternFill patternType="solid">
        <fgColor rgb="FF3D85C6"/>
        <bgColor rgb="FF3D85C6"/>
      </patternFill>
    </fill>
    <fill>
      <patternFill patternType="solid">
        <fgColor rgb="FF93C47D"/>
        <bgColor rgb="FF93C47D"/>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C9DBF9"/>
        <bgColor rgb="FFC9DBF9"/>
      </patternFill>
    </fill>
    <fill>
      <patternFill patternType="solid">
        <fgColor rgb="FFD0E0E3"/>
        <bgColor rgb="FFD0E0E3"/>
      </patternFill>
    </fill>
    <fill>
      <patternFill patternType="solid">
        <fgColor rgb="FFF9CB9C"/>
        <bgColor rgb="FFF9CB9C"/>
      </patternFill>
    </fill>
    <fill>
      <patternFill patternType="solid">
        <fgColor rgb="FFF4CCCC"/>
        <bgColor rgb="FFF4CCCC"/>
      </patternFill>
    </fill>
    <fill>
      <patternFill patternType="solid">
        <fgColor rgb="FFFF0000"/>
        <bgColor rgb="FFFF0000"/>
      </patternFill>
    </fill>
    <fill>
      <patternFill patternType="solid">
        <fgColor rgb="FF9FC5E8"/>
        <bgColor rgb="FF9FC5E8"/>
      </patternFill>
    </fill>
    <fill>
      <patternFill patternType="solid">
        <fgColor rgb="FFFFFF00"/>
        <bgColor rgb="FFFFFF00"/>
      </patternFill>
    </fill>
    <fill>
      <patternFill patternType="solid">
        <fgColor theme="0"/>
        <bgColor theme="0"/>
      </patternFill>
    </fill>
    <fill>
      <patternFill patternType="solid">
        <fgColor rgb="FFCFE2F3"/>
        <bgColor rgb="FFCFE2F3"/>
      </patternFill>
    </fill>
    <fill>
      <patternFill patternType="solid">
        <fgColor rgb="FFFFF2CC"/>
        <bgColor rgb="FFFFF2CC"/>
      </patternFill>
    </fill>
    <fill>
      <patternFill patternType="solid">
        <fgColor rgb="FFFFE599"/>
        <bgColor rgb="FFFFE599"/>
      </patternFill>
    </fill>
    <fill>
      <patternFill patternType="solid">
        <fgColor rgb="FFFCE5CD"/>
        <bgColor rgb="FFFCE5CD"/>
      </patternFill>
    </fill>
    <fill>
      <patternFill patternType="solid">
        <fgColor rgb="FFFF9900"/>
        <bgColor rgb="FFFF9900"/>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left" readingOrder="0" vertical="bottom"/>
    </xf>
    <xf borderId="1" fillId="2" fontId="2" numFmtId="0" xfId="0" applyAlignment="1" applyBorder="1" applyFont="1">
      <alignment horizontal="center" readingOrder="0" vertical="bottom"/>
    </xf>
    <xf borderId="2" fillId="2" fontId="3" numFmtId="0" xfId="0" applyAlignment="1" applyBorder="1" applyFont="1">
      <alignment horizontal="center" readingOrder="0"/>
    </xf>
    <xf borderId="2" fillId="3" fontId="2" numFmtId="0" xfId="0" applyAlignment="1" applyBorder="1" applyFill="1" applyFont="1">
      <alignment horizontal="center" readingOrder="0" vertical="bottom"/>
    </xf>
    <xf borderId="2" fillId="4" fontId="2" numFmtId="0" xfId="0" applyAlignment="1" applyBorder="1" applyFill="1" applyFont="1">
      <alignment horizontal="center" readingOrder="0" vertical="bottom"/>
    </xf>
    <xf borderId="2" fillId="2" fontId="2" numFmtId="0" xfId="0" applyAlignment="1" applyBorder="1" applyFont="1">
      <alignment horizontal="center" readingOrder="0" vertical="bottom"/>
    </xf>
    <xf borderId="0" fillId="0" fontId="4" numFmtId="0" xfId="0" applyAlignment="1" applyFont="1">
      <alignment readingOrder="0"/>
    </xf>
    <xf borderId="3" fillId="0" fontId="1" numFmtId="0" xfId="0" applyAlignment="1" applyBorder="1" applyFont="1">
      <alignment horizontal="left" readingOrder="0"/>
    </xf>
    <xf borderId="3" fillId="5" fontId="5" numFmtId="0" xfId="0" applyAlignment="1" applyBorder="1" applyFill="1" applyFont="1">
      <alignment horizontal="center" vertical="bottom"/>
    </xf>
    <xf borderId="4" fillId="5" fontId="5" numFmtId="0" xfId="0" applyAlignment="1" applyBorder="1" applyFont="1">
      <alignment horizontal="center" vertical="bottom"/>
    </xf>
    <xf borderId="4" fillId="5" fontId="5" numFmtId="0" xfId="0" applyAlignment="1" applyBorder="1" applyFont="1">
      <alignment horizontal="center" readingOrder="0" vertical="bottom"/>
    </xf>
    <xf borderId="4" fillId="0" fontId="1" numFmtId="0" xfId="0" applyAlignment="1" applyBorder="1" applyFont="1">
      <alignment horizontal="center"/>
    </xf>
    <xf borderId="0" fillId="0" fontId="1" numFmtId="0" xfId="0" applyAlignment="1" applyFont="1">
      <alignment readingOrder="0"/>
    </xf>
    <xf borderId="0" fillId="0" fontId="1" numFmtId="0" xfId="0" applyFont="1"/>
    <xf borderId="0" fillId="6" fontId="4" numFmtId="0" xfId="0" applyAlignment="1" applyFill="1" applyFont="1">
      <alignment readingOrder="0"/>
    </xf>
    <xf borderId="3" fillId="5" fontId="5" numFmtId="0" xfId="0" applyAlignment="1" applyBorder="1" applyFont="1">
      <alignment horizontal="left" readingOrder="0" vertical="bottom"/>
    </xf>
    <xf borderId="0" fillId="6" fontId="1" numFmtId="0" xfId="0" applyAlignment="1" applyFont="1">
      <alignment readingOrder="0"/>
    </xf>
    <xf borderId="1" fillId="0" fontId="4" numFmtId="0" xfId="0" applyAlignment="1" applyBorder="1" applyFont="1">
      <alignment readingOrder="0"/>
    </xf>
    <xf borderId="1" fillId="0" fontId="4" numFmtId="0" xfId="0" applyAlignment="1" applyBorder="1" applyFont="1">
      <alignment horizontal="center"/>
    </xf>
    <xf borderId="2" fillId="0" fontId="4" numFmtId="0" xfId="0" applyAlignment="1" applyBorder="1" applyFont="1">
      <alignment horizontal="center"/>
    </xf>
    <xf borderId="0" fillId="6" fontId="1" numFmtId="0" xfId="0" applyAlignment="1" applyFont="1">
      <alignment readingOrder="0" shrinkToFit="0" wrapText="1"/>
    </xf>
    <xf borderId="0" fillId="7" fontId="4" numFmtId="0" xfId="0" applyAlignment="1" applyFill="1" applyFont="1">
      <alignment readingOrder="0"/>
    </xf>
    <xf borderId="0" fillId="8" fontId="4" numFmtId="0" xfId="0" applyAlignment="1" applyFill="1" applyFont="1">
      <alignment readingOrder="0"/>
    </xf>
    <xf borderId="0" fillId="6" fontId="4" numFmtId="0" xfId="0" applyAlignment="1" applyFont="1">
      <alignment horizontal="left" readingOrder="0" vertical="top"/>
    </xf>
    <xf borderId="0" fillId="6" fontId="1" numFmtId="0" xfId="0" applyAlignment="1" applyFont="1">
      <alignment horizontal="left" readingOrder="0" vertical="top"/>
    </xf>
    <xf borderId="0" fillId="9" fontId="4" numFmtId="0" xfId="0" applyAlignment="1" applyFill="1" applyFont="1">
      <alignment readingOrder="0"/>
    </xf>
    <xf borderId="0" fillId="9" fontId="1" numFmtId="0" xfId="0" applyAlignment="1" applyFont="1">
      <alignment readingOrder="0"/>
    </xf>
    <xf borderId="0" fillId="9" fontId="1" numFmtId="0" xfId="0" applyAlignment="1" applyFont="1">
      <alignment horizontal="left" readingOrder="0" vertical="top"/>
    </xf>
    <xf borderId="0" fillId="10" fontId="4" numFmtId="0" xfId="0" applyAlignment="1" applyFill="1" applyFont="1">
      <alignment readingOrder="0"/>
    </xf>
    <xf borderId="0" fillId="10" fontId="1" numFmtId="0" xfId="0" applyAlignment="1" applyFont="1">
      <alignment readingOrder="0"/>
    </xf>
    <xf borderId="0" fillId="11" fontId="4" numFmtId="0" xfId="0" applyAlignment="1" applyFill="1" applyFont="1">
      <alignment readingOrder="0"/>
    </xf>
    <xf borderId="0" fillId="11" fontId="1" numFmtId="0" xfId="0" applyAlignment="1" applyFont="1">
      <alignment readingOrder="0" shrinkToFit="0" wrapText="1"/>
    </xf>
    <xf borderId="0" fillId="11" fontId="1" numFmtId="0" xfId="0" applyAlignment="1" applyFont="1">
      <alignment readingOrder="0"/>
    </xf>
    <xf borderId="0" fillId="12" fontId="4" numFmtId="0" xfId="0" applyAlignment="1" applyFill="1" applyFont="1">
      <alignment readingOrder="0"/>
    </xf>
    <xf borderId="0" fillId="12" fontId="1" numFmtId="0" xfId="0" applyAlignment="1" applyFont="1">
      <alignment readingOrder="0"/>
    </xf>
    <xf borderId="0" fillId="12" fontId="1" numFmtId="0" xfId="0" applyFont="1"/>
    <xf borderId="0" fillId="13" fontId="6" numFmtId="0" xfId="0" applyAlignment="1" applyFill="1" applyFont="1">
      <alignment horizontal="center" readingOrder="0" shrinkToFit="0" vertical="center" wrapText="1"/>
    </xf>
    <xf borderId="0" fillId="13" fontId="6" numFmtId="0" xfId="0" applyAlignment="1" applyFont="1">
      <alignment horizontal="center" shrinkToFit="0" vertical="center" wrapText="1"/>
    </xf>
    <xf borderId="0" fillId="14" fontId="6" numFmtId="0" xfId="0" applyAlignment="1" applyFill="1" applyFont="1">
      <alignment horizontal="center" readingOrder="0" shrinkToFit="0" vertical="center" wrapText="1"/>
    </xf>
    <xf borderId="0" fillId="0" fontId="1" numFmtId="0" xfId="0" applyAlignment="1" applyFont="1">
      <alignment shrinkToFit="0" vertical="center" wrapText="1"/>
    </xf>
    <xf borderId="0" fillId="5" fontId="5" numFmtId="0" xfId="0" applyAlignment="1" applyFont="1">
      <alignment readingOrder="0" shrinkToFit="0" vertical="bottom" wrapText="0"/>
    </xf>
    <xf borderId="0" fillId="5" fontId="5" numFmtId="0" xfId="0" applyAlignment="1" applyFont="1">
      <alignment readingOrder="0" vertical="bottom"/>
    </xf>
    <xf borderId="0" fillId="5" fontId="5" numFmtId="0" xfId="0" applyAlignment="1" applyFont="1">
      <alignment horizontal="center" readingOrder="0"/>
    </xf>
    <xf borderId="0" fillId="5" fontId="1" numFmtId="0" xfId="0" applyAlignment="1" applyFont="1">
      <alignment readingOrder="0"/>
    </xf>
    <xf borderId="0" fillId="5" fontId="1" numFmtId="0" xfId="0" applyFont="1"/>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horizontal="center" readingOrder="0"/>
    </xf>
    <xf borderId="0" fillId="12" fontId="5" numFmtId="0" xfId="0" applyAlignment="1" applyFont="1">
      <alignment readingOrder="0" shrinkToFit="0" vertical="bottom" wrapText="0"/>
    </xf>
    <xf borderId="0" fillId="0" fontId="5" numFmtId="0" xfId="0" applyAlignment="1" applyFont="1">
      <alignment vertical="bottom"/>
    </xf>
    <xf borderId="0" fillId="0" fontId="5" numFmtId="0" xfId="0" applyAlignment="1" applyFont="1">
      <alignment horizontal="center"/>
    </xf>
    <xf borderId="0" fillId="14" fontId="5" numFmtId="0" xfId="0" applyAlignment="1" applyFont="1">
      <alignment readingOrder="0" shrinkToFit="0" vertical="bottom" wrapText="0"/>
    </xf>
    <xf borderId="0" fillId="5" fontId="5" numFmtId="0" xfId="0" applyAlignment="1" applyFont="1">
      <alignment vertical="bottom"/>
    </xf>
    <xf borderId="0" fillId="5" fontId="5" numFmtId="0" xfId="0" applyAlignment="1" applyFont="1">
      <alignment horizontal="center"/>
    </xf>
    <xf borderId="0" fillId="0" fontId="5" numFmtId="0" xfId="0" applyAlignment="1" applyFont="1">
      <alignment readingOrder="0" shrinkToFit="0" vertical="bottom" wrapText="1"/>
    </xf>
    <xf borderId="0" fillId="0" fontId="1" numFmtId="0" xfId="0" applyFont="1"/>
    <xf borderId="0" fillId="15" fontId="5" numFmtId="0" xfId="0" applyAlignment="1" applyFill="1" applyFont="1">
      <alignment readingOrder="0" shrinkToFit="0" vertical="bottom" wrapText="0"/>
    </xf>
    <xf borderId="0" fillId="14" fontId="5" numFmtId="0" xfId="0" applyAlignment="1" applyFont="1">
      <alignment readingOrder="0" vertical="bottom"/>
    </xf>
    <xf borderId="0" fillId="0" fontId="7" numFmtId="0" xfId="0" applyAlignment="1" applyFont="1">
      <alignment readingOrder="0" shrinkToFit="0" vertical="bottom" wrapText="0"/>
    </xf>
    <xf borderId="0" fillId="16" fontId="1" numFmtId="0" xfId="0" applyFill="1" applyFont="1"/>
    <xf borderId="0" fillId="15" fontId="1" numFmtId="0" xfId="0" applyAlignment="1" applyFont="1">
      <alignment readingOrder="0"/>
    </xf>
    <xf borderId="0" fillId="17" fontId="5" numFmtId="0" xfId="0" applyAlignment="1" applyFill="1" applyFont="1">
      <alignment readingOrder="0" shrinkToFit="0" vertical="bottom" wrapText="0"/>
    </xf>
    <xf borderId="0" fillId="15" fontId="8" numFmtId="0" xfId="0" applyAlignment="1" applyFont="1">
      <alignment readingOrder="0" shrinkToFit="0" vertical="bottom" wrapText="0"/>
    </xf>
    <xf borderId="0" fillId="18" fontId="5" numFmtId="0" xfId="0" applyAlignment="1" applyFill="1" applyFont="1">
      <alignment readingOrder="0" shrinkToFit="0" vertical="bottom" wrapText="0"/>
    </xf>
    <xf borderId="0" fillId="15" fontId="5" numFmtId="0" xfId="0" applyAlignment="1" applyFont="1">
      <alignment readingOrder="0" vertical="bottom"/>
    </xf>
    <xf borderId="0" fillId="16" fontId="5" numFmtId="0" xfId="0" applyAlignment="1" applyFont="1">
      <alignment readingOrder="0" shrinkToFit="0" vertical="bottom" wrapText="0"/>
    </xf>
    <xf borderId="0" fillId="16" fontId="5" numFmtId="0" xfId="0" applyAlignment="1" applyFont="1">
      <alignment readingOrder="0" vertical="bottom"/>
    </xf>
    <xf borderId="0" fillId="16" fontId="5" numFmtId="0" xfId="0" applyAlignment="1" applyFont="1">
      <alignment horizontal="center" readingOrder="0"/>
    </xf>
    <xf borderId="0" fillId="16" fontId="1" numFmtId="0" xfId="0" applyAlignment="1" applyFont="1">
      <alignment readingOrder="0"/>
    </xf>
    <xf borderId="0" fillId="0" fontId="9" numFmtId="0" xfId="0" applyAlignment="1" applyFont="1">
      <alignment readingOrder="0"/>
    </xf>
    <xf borderId="0" fillId="19" fontId="10" numFmtId="0" xfId="0" applyAlignment="1" applyFill="1" applyFont="1">
      <alignment readingOrder="0" shrinkToFit="0" vertical="bottom" wrapText="0"/>
    </xf>
    <xf borderId="0" fillId="6" fontId="5" numFmtId="0" xfId="0" applyAlignment="1" applyFont="1">
      <alignment readingOrder="0" vertical="bottom"/>
    </xf>
    <xf borderId="0" fillId="6" fontId="5" numFmtId="0" xfId="0" applyAlignment="1" applyFont="1">
      <alignment readingOrder="0" shrinkToFit="0" vertical="bottom" wrapText="0"/>
    </xf>
    <xf borderId="0" fillId="19" fontId="5" numFmtId="0" xfId="0" applyAlignment="1" applyFont="1">
      <alignment readingOrder="0" shrinkToFit="0" vertical="bottom" wrapText="0"/>
    </xf>
    <xf borderId="0" fillId="12" fontId="5" numFmtId="0" xfId="0" applyAlignment="1" applyFont="1">
      <alignment readingOrder="0" vertical="bottom"/>
    </xf>
    <xf borderId="0" fillId="12" fontId="5" numFmtId="0" xfId="0" applyAlignment="1" applyFont="1">
      <alignment vertical="bottom"/>
    </xf>
    <xf borderId="0" fillId="20" fontId="5" numFmtId="0" xfId="0" applyAlignment="1" applyFill="1" applyFont="1">
      <alignment readingOrder="0" shrinkToFit="0" vertical="bottom" wrapText="0"/>
    </xf>
    <xf borderId="0" fillId="17" fontId="1" numFmtId="0" xfId="0" applyAlignment="1" applyFont="1">
      <alignment readingOrder="0"/>
    </xf>
    <xf borderId="0" fillId="0" fontId="11" numFmtId="0" xfId="0" applyAlignment="1" applyFont="1">
      <alignment readingOrder="0" shrinkToFit="0" vertical="bottom" wrapText="0"/>
    </xf>
    <xf borderId="0" fillId="15" fontId="12" numFmtId="0" xfId="0" applyAlignment="1" applyFont="1">
      <alignment readingOrder="0" shrinkToFit="0" vertical="bottom" wrapText="0"/>
    </xf>
    <xf borderId="0" fillId="0" fontId="5" numFmtId="0" xfId="0" applyAlignment="1" applyFont="1">
      <alignment vertical="bottom"/>
    </xf>
    <xf borderId="0" fillId="0" fontId="1" numFmtId="0" xfId="0" applyAlignment="1" applyFont="1">
      <alignment readingOrder="0" shrinkToFit="0" wrapText="1"/>
    </xf>
    <xf borderId="0" fillId="16" fontId="1" numFmtId="0" xfId="0" applyAlignment="1" applyFont="1">
      <alignment horizontal="center"/>
    </xf>
    <xf borderId="0" fillId="0" fontId="5" numFmtId="0" xfId="0" applyAlignment="1" applyFont="1">
      <alignment readingOrder="0" shrinkToFit="0" vertical="bottom" wrapText="0"/>
    </xf>
    <xf borderId="0" fillId="15"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5" fillId="0" fontId="1" numFmtId="0" xfId="0" applyBorder="1" applyFont="1"/>
    <xf borderId="5"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'Analysis All Hands'!$A$14</c:f>
            </c:strRef>
          </c:tx>
          <c:spPr>
            <a:solidFill>
              <a:schemeClr val="accent1"/>
            </a:solidFill>
            <a:ln cmpd="sng">
              <a:solidFill>
                <a:srgbClr val="000000"/>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'Analysis All Hands'!$B$13:$H$13</c:f>
            </c:strRef>
          </c:cat>
          <c:val>
            <c:numRef>
              <c:f>'Analysis All Hands'!$B$14:$H$14</c:f>
              <c:numCache/>
            </c:numRef>
          </c:val>
        </c:ser>
        <c:ser>
          <c:idx val="1"/>
          <c:order val="1"/>
          <c:tx>
            <c:strRef>
              <c:f>'Analysis All Hands'!$A$15</c:f>
            </c:strRef>
          </c:tx>
          <c:spPr>
            <a:solidFill>
              <a:schemeClr val="accent2"/>
            </a:solidFill>
            <a:ln cmpd="sng">
              <a:solidFill>
                <a:srgbClr val="000000"/>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'Analysis All Hands'!$B$13:$H$13</c:f>
            </c:strRef>
          </c:cat>
          <c:val>
            <c:numRef>
              <c:f>'Analysis All Hands'!$B$15:$H$15</c:f>
              <c:numCache/>
            </c:numRef>
          </c:val>
        </c:ser>
        <c:ser>
          <c:idx val="2"/>
          <c:order val="2"/>
          <c:tx>
            <c:strRef>
              <c:f>'Analysis All Hands'!$A$16</c:f>
            </c:strRef>
          </c:tx>
          <c:spPr>
            <a:solidFill>
              <a:schemeClr val="accent3"/>
            </a:solidFill>
            <a:ln cmpd="sng">
              <a:solidFill>
                <a:srgbClr val="000000"/>
              </a:solidFill>
            </a:ln>
          </c:spPr>
          <c:dPt>
            <c:idx val="6"/>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'Analysis All Hands'!$B$13:$H$13</c:f>
            </c:strRef>
          </c:cat>
          <c:val>
            <c:numRef>
              <c:f>'Analysis All Hands'!$B$16:$H$16</c:f>
              <c:numCache/>
            </c:numRef>
          </c:val>
        </c:ser>
        <c:ser>
          <c:idx val="3"/>
          <c:order val="3"/>
          <c:tx>
            <c:strRef>
              <c:f>'Analysis All Hands'!$A$17</c:f>
            </c:strRef>
          </c:tx>
          <c:spPr>
            <a:solidFill>
              <a:schemeClr val="accent4"/>
            </a:solidFill>
            <a:ln cmpd="sng">
              <a:solidFill>
                <a:srgbClr val="000000"/>
              </a:solidFill>
            </a:ln>
          </c:spPr>
          <c:dPt>
            <c:idx val="5"/>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'Analysis All Hands'!$B$13:$H$13</c:f>
            </c:strRef>
          </c:cat>
          <c:val>
            <c:numRef>
              <c:f>'Analysis All Hands'!$B$17:$H$17</c:f>
              <c:numCache/>
            </c:numRef>
          </c:val>
        </c:ser>
        <c:ser>
          <c:idx val="4"/>
          <c:order val="4"/>
          <c:tx>
            <c:strRef>
              <c:f>'Analysis All Hands'!$A$18</c:f>
            </c:strRef>
          </c:tx>
          <c:spPr>
            <a:solidFill>
              <a:schemeClr val="accent5"/>
            </a:solidFill>
            <a:ln cmpd="sng">
              <a:solidFill>
                <a:srgbClr val="000000"/>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'Analysis All Hands'!$B$13:$H$13</c:f>
            </c:strRef>
          </c:cat>
          <c:val>
            <c:numRef>
              <c:f>'Analysis All Hands'!$B$18:$H$18</c:f>
              <c:numCache/>
            </c:numRef>
          </c:val>
        </c:ser>
        <c:overlap val="100"/>
        <c:axId val="1196724015"/>
        <c:axId val="1228125752"/>
      </c:barChart>
      <c:catAx>
        <c:axId val="11967240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8125752"/>
      </c:catAx>
      <c:valAx>
        <c:axId val="12281257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6724015"/>
      </c:valAx>
    </c:plotArea>
    <c:legend>
      <c:legendPos val="b"/>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575444b5-0a7e-40ee-8eee-416146c14241}">
    <Anchor>
      <Comment id="{ec9f49a9-2a84-4f02-bfc1-c150797e103d}"/>
    </Anchor>
    <History>
      <Event time="2026-03-16T16:40:31.00" id="{cffcc5c2-c0b1-4747-874a-6a9efff33225}">
        <Attribution userId="placeholder@email.com" userName="Sheue Chee Beh" userProvider="google-sheets"/>
        <Anchor>
          <Comment id="{ec9f49a9-2a84-4f02-bfc1-c150797e103d}"/>
        </Anchor>
        <Create/>
      </Event>
      <Event time="2026-03-16T16:40:31.00" id="{bb0820f3-1206-4921-a304-9c39a1e4c253}">
        <Attribution userId="placeholder@email.com" userName="Sheue Chee Beh" userProvider="google-sheets"/>
        <Anchor>
          <Comment id="{ec9f49a9-2a84-4f02-bfc1-c150797e103d}"/>
        </Anchor>
        <Assign userId="daniela.reyes@y.uno" userName="daniela.reyes@y.uno" userProvider="google-sheets"/>
      </Event>
    </History>
  </Task>
  <Task id="{290244bc-dc59-4e2e-82a8-b53620ac6c0b}">
    <Anchor>
      <Comment id="{76664792-bc73-4151-a155-bd0143e83ccb}"/>
    </Anchor>
    <History>
      <Event time="2026-01-05T16:34:34.00" id="{de6a8948-2a8d-443d-8990-fd5426db8534}">
        <Attribution userId="placeholder@email.com" userName="Talita Diaz Gama" userProvider="google-sheets"/>
        <Anchor>
          <Comment id="{76664792-bc73-4151-a155-bd0143e83ccb}"/>
        </Anchor>
        <Create/>
      </Event>
      <Event time="2026-01-05T16:34:34.00" id="{be039301-753d-4c80-9d0a-73d62e084528}">
        <Attribution userId="placeholder@email.com" userName="Talita Diaz Gama" userProvider="google-sheets"/>
        <Anchor>
          <Comment id="{76664792-bc73-4151-a155-bd0143e83ccb}"/>
        </Anchor>
        <Assign userId="johanderson.guevara@y.uno" userName="johanderson.guevara@y.uno" userProvider="google-sheets"/>
      </Event>
    </History>
  </Task>
  <Task id="{b23342cf-0d67-472e-9c2c-40f36ae98dc5}">
    <Anchor>
      <Comment id="{d745fbda-d1a6-4455-9eba-4f10350b9a8f}"/>
    </Anchor>
    <History>
      <Event time="2025-05-06T13:18:00.00" id="{825dcae4-aec2-4d9d-a45a-1b504d8971d6}">
        <Attribution userId="placeholder@email.com" userName="Deleted user" userProvider="google-sheets"/>
        <Anchor>
          <Comment id="{d745fbda-d1a6-4455-9eba-4f10350b9a8f}"/>
        </Anchor>
        <Create/>
      </Event>
      <Event time="2025-05-06T13:18:00.00" id="{59f1540d-55d8-42d8-ac13-85c98e6aca87}">
        <Attribution userId="placeholder@email.com" userName="Deleted user" userProvider="google-sheets"/>
        <Anchor>
          <Comment id="{d745fbda-d1a6-4455-9eba-4f10350b9a8f}"/>
        </Anchor>
        <Assign userId="alessandra.rospigliosi@y.uno" userName="alessandra.rospigliosi@y.uno" userProvider="google-sheets"/>
      </Event>
    </History>
  </Task>
</Task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409575</xdr:colOff>
      <xdr:row>13</xdr:row>
      <xdr:rowOff>114300</xdr:rowOff>
    </xdr:from>
    <xdr:ext cx="6753225" cy="4181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Deleted user" id="{20b94111-0e4c-45f6-9a6e-5c861ee07cb8}" providerId="google-sheets"/>
  <x18tc:person displayName="Talita Diaz Gama" id="{6b27ad09-45ff-45e1-9468-5bfc60b2a531}" providerId="google-sheets"/>
  <x18tc:person displayName="Deleted user" id="{7d57896f-fd7d-468a-b301-4e5448d5821b}" providerId="google-sheets"/>
  <x18tc:person displayName="Deleted user" id="{41e09cc8-5edb-48cc-9cb4-ad43b0309683}" providerId="google-sheets"/>
  <x18tc:person displayName="Deleted user" id="{c967287a-9698-4daa-b3a4-8c07c35ade9c}" providerId="google-sheets"/>
  <x18tc:person displayName="francisco.quintana@y.uno" id="{1d0f6187-5f14-4bd6-afc8-4ab9b8f84558}" userId="francisco.quintana@y.uno" providerId="google-sheets"/>
  <x18tc:person displayName="beatriz.goncalves@y.uno" id="{a24c23b3-20b3-48f8-8174-cb2762c40b88}" userId="beatriz.goncalves@y.uno" providerId="google-sheets"/>
  <x18tc:person displayName="Deleted user" id="{6cb09e45-13f3-4121-9fb0-f00609b63fb6}" providerId="google-sheets"/>
  <x18tc:person displayName="alessandra.rospigliosi@y.uno" id="{8b9a48ed-0a61-4b37-8467-f33c1b4e4932}" userId="alessandra.rospigliosi@y.uno" providerId="google-sheets"/>
  <x18tc:person displayName="gian.davila@y.uno" id="{29cd3d03-37d3-40ad-837d-bf578b83fe91}" userId="gian.davila@y.uno" providerId="google-sheets"/>
  <x18tc:person displayName="Beatriz Goncalves Lippi" id="{4e4cadac-549f-44bc-9364-81a48519c206}" providerId="google-sheets"/>
  <x18tc:person displayName="johanderson.guevara@y.uno" id="{cb0b5834-b6e1-4f94-b8d4-8bbe129cd381}" userId="johanderson.guevara@y.uno" providerId="google-sheets"/>
  <x18tc:person displayName="Deleted user" id="{0fe3e052-c842-428f-9011-c5e5a1a782ea}" providerId="google-sheets"/>
  <x18tc:person displayName="Alessandra Rospigliosi Ibanez" id="{d2b49c2c-0cb9-4866-89c9-632a8ac561c2}" providerId="google-sheets"/>
  <x18tc:person displayName="robert.oxley@y.uno" id="{6ce41ee6-bc34-406d-b4a7-89a059a87df6}" userId="robert.oxley@y.uno" providerId="google-sheets"/>
  <x18tc:person displayName="chee@y.uno" id="{67e80b2d-287c-4938-bae4-dbd67cfcfd65}" userId="chee@y.uno" providerId="google-sheets"/>
  <x18tc:person displayName="mariana@y.uno" id="{01bacf93-2c43-4765-927f-9bc81ffc62e5}" userId="mariana@y.uno" providerId="google-sheets"/>
  <x18tc:person displayName="ck@y.uno" id="{a118ba94-0c3b-41ea-a760-6c3df1f20c55}" userId="ck@y.uno" providerId="google-sheets"/>
  <x18tc:person displayName="franklin.lo@y.uno" id="{7c1e2d91-9266-49fc-89c5-1b4fb52eb3a9}" userId="franklin.lo@y.uno" providerId="google-sheets"/>
  <x18tc:person displayName="Sheue Chee Beh" id="{eb119bf9-960e-4fac-9aff-d7eefe012dcd}" providerId="google-sheets"/>
  <x18tc:person displayName="talita@y.uno" id="{a4a3c947-bbaa-40c7-a754-0bba6e2a8246}" userId="talita@y.uno" providerId="google-sheets"/>
  <x18tc:person displayName="macarena.perez@y.uno" id="{f057a5e4-d3d7-4742-850c-7245442c578c}" userId="macarena.perez@y.uno" providerId="google-sheets"/>
  <x18tc:person displayName="Francisco Quintana Barrera" id="{ec920e1a-5ff7-4ef1-a529-49c1deab33b7}" providerId="google-sheets"/>
  <x18tc:person displayName="daniela.reyes@y.uno" id="{b4ee1cbf-fde9-4073-8d83-229c40f36b27}" userId="daniela.reyes@y.uno" providerId="google-sheets"/>
  <x18tc:person displayName="Daniela Reyes" id="{59948e64-219d-4234-a2d2-6e818eea8ef0}" providerId="google-sheets"/>
  <x18tc:person displayName="jean@y.uno" id="{9af94628-021d-43f1-a7f3-f05f30b6cfaa}" userId="jean@y.uno"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57" sheet="All partners"/>
  </cacheSource>
  <cacheFields>
    <cacheField name="Provider" numFmtId="0">
      <sharedItems>
        <s v="2C2P / Ant Intl "/>
        <s v="54pay/PayGate"/>
        <s v="ABSA Bank"/>
        <s v="Accertify"/>
        <s v="Acuotaz"/>
        <s v="Addi"/>
        <s v="Adiq Pagamentos"/>
        <s v="Adyen"/>
        <s v="Afirme"/>
        <s v="Aiia by Mastercard"/>
        <s v="Airwallex APAC"/>
        <s v="Airwallex USA/ LATAM "/>
        <s v="Alelo Brasil"/>
        <s v="Alignet"/>
        <s v="AllinPay (International)"/>
        <s v="Amazon Pay"/>
        <s v="American Express"/>
        <s v="Aplazo"/>
        <s v="Apple Pay"/>
        <s v="Asaas"/>
        <s v="AsiaPay"/>
        <s v="Astropay"/>
        <s v="Au10tix"/>
        <s v="Avenia"/>
        <s v="Azify"/>
        <s v="Azul"/>
        <s v="B2E"/>
        <s v="Baaskit"/>
        <s v="BAC International Bank"/>
        <s v="Bamboo Payments"/>
        <s v="Banbajío"/>
        <s v="Bancard"/>
        <s v="Banco BHD Leon"/>
        <s v="Banco Bradesco"/>
        <s v="Banco BS2"/>
        <s v="Banco BV | Banly"/>
        <s v="Banco de Bogotá"/>
        <s v="Banco de Quyaquil"/>
        <s v="Banco do Brasil"/>
        <s v="Banco Estado de Chile"/>
        <s v="Banco Galicia / Nave"/>
        <s v="Banco Genial"/>
        <s v="Banco Mercantil"/>
        <s v="Banco Rendimento"/>
        <s v="Banco Santander (Brasil) S.A."/>
        <s v="Bancolombia"/>
        <s v="Bancontact"/>
        <s v="Bank Frick"/>
        <s v="Bank of America"/>
        <s v="Banorte"/>
        <s v="Banregio"/>
        <s v="Barclays PLC"/>
        <s v="Barte"/>
        <s v="Basis Theory "/>
        <s v="Bayonet.io"/>
        <s v="BAZ / Banco Azteca"/>
        <s v="BBVA Colombia"/>
        <s v="BBVA México"/>
        <s v="Belvo"/>
        <s v="Bepsa (Bepsa del Paraguay SAEC)"/>
        <s v="Billdesk"/>
        <s v="Binance Pay"/>
        <s v="Bitso"/>
        <s v="bKash"/>
        <s v="Blik "/>
        <s v="BlueSnap"/>
        <s v="Blumonpay"/>
        <s v="Boku Inc - New Deal"/>
        <s v="Boomfi"/>
        <s v="Bren"/>
        <s v="Brinta"/>
        <s v="Brite"/>
        <s v="BTG Pactual BR"/>
        <s v="BVNK"/>
        <s v="ByBit"/>
        <s v="C6"/>
        <s v="Carry1st"/>
        <s v="Cashfree"/>
        <s v="Celcoin"/>
        <s v="Chargeback 911"/>
        <s v="Chargeflow"/>
        <s v="Checkout"/>
        <s v="Checkout MENA"/>
        <s v="CIBC"/>
        <s v="Cielo"/>
        <s v="Circle"/>
        <s v="Clearbank"/>
        <s v="Clearpay"/>
        <s v="ClearSale BR"/>
        <s v="ClearSale LATAM"/>
        <s v="Cleo"/>
        <s v="CMI"/>
        <s v="Cobre"/>
        <s v="Cobro Digital"/>
        <s v="Coda Payment"/>
        <s v="CoinFlow "/>
        <s v="Coinpayments"/>
        <s v="CoinsPaid"/>
        <s v="CoinSub"/>
        <s v="Colibrix"/>
        <s v="Comercia / CaixaBank (Redsys)"/>
        <s v="CommerceGate"/>
        <s v="Conduit"/>
        <s v="Confirmo "/>
        <s v="ConnexPay"/>
        <s v="Coppel Pay"/>
        <s v="Credibanco"/>
        <s v="Creditea"/>
        <s v="Creditop"/>
        <s v="Crypto.com"/>
        <s v="Culqi"/>
        <s v="Cumbuca"/>
        <s v="Cuotealo BCP"/>
        <s v="Cybersource"/>
        <s v="D24"/>
        <s v="DANA"/>
        <s v="Datafast"/>
        <s v="Datransfer"/>
        <s v="Daviplata"/>
        <s v="Davivienda"/>
        <s v="DeUna Wallet"/>
        <s v="Devtects"/>
        <s v="DGFT"/>
        <s v="Digitnite "/>
        <s v="Diners Club del Ecuador"/>
        <s v="Discover"/>
        <s v="DLocal"/>
        <s v="Do Payments"/>
        <s v="Dock"/>
        <s v="Doku"/>
        <s v="DolarApp Pay"/>
        <s v="Druo"/>
        <s v="Ebanx"/>
        <s v="Ebury"/>
        <s v="Ecobank"/>
        <s v="Ecommpay"/>
        <s v="ECPay"/>
        <s v="Edenred "/>
        <s v="Edenred BR"/>
        <s v="Edenred TK"/>
        <s v="Efecty"/>
        <s v="Efevoo Pay"/>
        <s v="Einpays"/>
        <s v="Elavon, Inc."/>
        <s v="Elo"/>
        <s v="Emerchant Pay"/>
        <s v="Epag"/>
        <s v="Epayco"/>
        <s v="Epoch"/>
        <s v="ETPay"/>
        <s v="Evo Payments"/>
        <s v="f"/>
        <s v="FAC/Powertranz"/>
        <s v="FacilitaPay"/>
        <s v="FEMSA - Oxxo Pay"/>
        <s v="Fexco"/>
        <s v="Fidelity Marketing"/>
        <s v="FinFan"/>
        <s v="Fintoc"/>
        <s v="Fiserv APAC"/>
        <s v="Fiserv Argentina"/>
        <s v="Fiserv BR"/>
        <s v="Fiserv EMEA"/>
        <s v="Fiserv MX"/>
        <s v="Fiserv Uruguay"/>
        <s v="Fitbank"/>
        <s v="Fiuu.com"/>
        <s v="Floid"/>
        <s v="Flutterwave"/>
        <s v="Forter"/>
        <s v="Fraudio"/>
        <s v="Fuze"/>
        <s v="Galaxy"/>
        <s v="Garanti BBVA Bank"/>
        <s v="Gatekeeperx"/>
        <s v="Geidea"/>
        <s v="Getnet BR"/>
        <s v="GetNet Global"/>
        <s v="Glassdata"/>
        <s v="Global Payments"/>
        <s v="GMO"/>
        <s v="Google A2A"/>
        <s v="Google Pay"/>
        <s v="Gpay"/>
        <s v="Gueno"/>
        <s v="HandsIn"/>
        <s v="Hecto Financial"/>
        <s v="Hipay"/>
        <s v="HitPay"/>
        <s v="HSBC BR"/>
        <s v="HSBC EU"/>
        <s v="HSBC MX/ Global Payments"/>
        <s v="HyperPay"/>
        <s v="Ibex"/>
        <s v="iDeal"/>
        <s v="Ingenico"/>
        <s v="Iniciador"/>
        <s v="Inovio Gateway"/>
        <s v="Inswitch"/>
        <s v="INXY Payments"/>
        <s v="IPSP.KZ"/>
        <s v="Itaú Unibanco"/>
        <s v="Iugu"/>
        <s v="Izipay"/>
        <s v="Izyco"/>
        <s v="Jiko"/>
        <s v="JP Morgan chase APAC"/>
        <s v="JP Morgan chase USA"/>
        <s v="Jumio"/>
        <s v="Justt"/>
        <s v="Kamin"/>
        <s v="Kasikorn Global Payment"/>
        <s v="Khipu"/>
        <s v="Kinetic"/>
        <s v="Klap"/>
        <s v="Klarna"/>
        <s v="Koin BR "/>
        <s v="Koin Latam"/>
        <s v="Konduto"/>
        <s v="Korea Cyber Payment (KCP)"/>
        <s v="Kount (Equifax)"/>
        <s v="Kueski"/>
        <s v="Kushki"/>
        <s v="LatamGateway"/>
        <s v="LexisNexis"/>
        <s v="Lian Lian"/>
        <s v="Lidio"/>
        <s v="Limepay"/>
        <s v="LinePay"/>
        <s v="Livelo Pay"/>
        <s v="Local Payment"/>
        <s v="Mach Pay"/>
        <s v="MassPay"/>
        <s v="Mastercard"/>
        <s v="Mastercard APAC "/>
        <s v="Mastercard BR"/>
        <s v="Mastercard MENA"/>
        <s v="Maya"/>
        <s v="Medianet"/>
        <s v="MercadoPago"/>
        <s v="MercadoPago BR"/>
        <s v="MetropolCard"/>
        <s v="Minka"/>
        <s v="Mobbex"/>
        <s v="Mobilepay / Vipps"/>
        <s v="Mollie"/>
        <s v="MonedaPay"/>
        <s v="Moneris"/>
        <s v="Monext"/>
        <s v="Monnet Payments"/>
        <s v="Monoova"/>
        <s v="More Payments / Uniteller"/>
        <s v="Movii"/>
        <s v="Moyasar"/>
        <s v="Multinet Up"/>
        <s v="Mural Pay"/>
        <s v="Nequi"/>
        <s v="Net Protections"/>
        <s v="NetPay"/>
        <s v="Netstars"/>
        <s v="Network International"/>
        <s v="Nexi"/>
        <s v="Niubiz"/>
        <s v="Nium"/>
        <s v="NODA"/>
        <s v="Nomupay"/>
        <s v="Notolityx (KYC)"/>
        <s v="Novalnet"/>
        <s v="NTTD"/>
        <s v="NuPay"/>
        <s v="Nuvei "/>
        <s v="Nuvei EMEA"/>
        <s v="Nuvei LATAM"/>
        <s v="Nuvei USA"/>
        <s v="OceanPay"/>
        <s v="OKTO Payments"/>
        <s v="Onafriq"/>
        <s v="Onfido (KYC)"/>
        <s v="OpenCo"/>
        <s v="OpenNode"/>
        <s v="OpenPay Colombia"/>
        <s v="OpenPay Mexico"/>
        <s v="OpenPay Peru"/>
        <s v="Opn Payments (Omise)"/>
        <s v="Pagaleve"/>
        <s v="Pagalo"/>
        <s v="Pagar.me"/>
        <s v="PagBank Brasil"/>
        <s v="PagBrasil"/>
        <s v="PagoPar"/>
        <s v="PagoPlux"/>
        <s v="PagSeguro Latam"/>
        <s v="PagSmile"/>
        <s v="Pandablue"/>
        <s v="Papara"/>
        <s v="PARAM"/>
        <s v="Pay Trades"/>
        <s v="Pay10"/>
        <s v="Pay4Fun"/>
        <s v="Payabl"/>
        <s v="Payamigo"/>
        <s v="Payaza"/>
        <s v="Paybrokers"/>
        <s v="PayCash"/>
        <s v="Paycomet/ banco sabadell (Redsys)"/>
        <s v="Paycore"/>
        <s v="Payfuture"/>
        <s v="Paylater"/>
        <s v="PayMee"/>
        <s v="Payments Way"/>
        <s v="Paymentwall"/>
        <s v="Paymob"/>
        <s v="Payoneer"/>
        <s v="Paypal / Braintree"/>
        <s v="PayPal/ Braintree BR"/>
        <s v="PayPhone"/>
        <s v="Payplug"/>
        <s v="PayRetailers"/>
        <s v="Payreto"/>
        <s v="PaySafe Europe / Skrill"/>
        <s v="Paysafe USA"/>
        <s v="PaySquad (Partnerships Deal)"/>
        <s v="Paystack by Stripe"/>
        <s v="Paytabs"/>
        <s v="PayTR"/>
        <s v="PayU"/>
        <s v="PayU APAC"/>
        <s v="PayValida"/>
        <s v="PayWay/Prisma"/>
        <s v="Payzen/Lyra"/>
        <s v="Paze"/>
        <s v="PicPay"/>
        <s v="Pinbank"/>
        <s v="PingPong"/>
        <s v="PlacetoPay by Evertec"/>
        <s v="Plaid"/>
        <s v="Pluxee"/>
        <s v="Pockyt"/>
        <s v="PPRO"/>
        <s v="Precision"/>
        <s v="Primefy"/>
        <s v="Privy (owned by Stripe)"/>
        <s v="Procard S.A."/>
        <s v="ProntoPaga"/>
        <s v="Prosa"/>
        <s v="Protect Group"/>
        <s v="Publicala"/>
        <s v="Puntos Colombia"/>
        <s v="Puntoxpress"/>
        <s v="QubePay"/>
        <s v="R4 Banco Microfinanciero"/>
        <s v="Raiffeisen Bank"/>
        <s v="Rapyd"/>
        <s v="RazorPay"/>
        <s v="Recargapay"/>
        <s v="RedDot Pay"/>
        <s v="Rede"/>
        <s v="Redeban"/>
        <s v="Redeban Peru"/>
        <s v="Redsys (&amp; 7 local banks)"/>
        <s v="Refácil"/>
        <s v="Revolut"/>
        <s v="Riskified (Fraud exception)"/>
        <s v="Riverty"/>
        <s v="Rixsus"/>
        <s v="Safe2Pay"/>
        <s v="SafetyPay"/>
        <s v="SafraPay"/>
        <s v="Samsung Pay"/>
        <s v="Sardine"/>
        <s v="Scalapay"/>
        <s v="SEON"/>
        <s v="Set Card"/>
        <s v="Shift 4/ Finaro"/>
        <s v="ShopeePay"/>
        <s v="Shopify"/>
        <s v="Shopline"/>
        <s v="SIBS"/>
        <s v="Sift"/>
        <s v="Signifyd"/>
        <s v="Signifyd BR"/>
        <s v="Silverflow (Product)"/>
        <s v="Simpaisa"/>
        <s v="Sipay"/>
        <s v="Sistecrédito"/>
        <s v="SMCC"/>
        <s v="SolidGate"/>
        <s v="Spayce"/>
        <s v="Stanbic / Standard Bank"/>
        <s v="StarkBank"/>
        <s v="Stone"/>
        <s v="STP"/>
        <s v="Stripe"/>
        <s v="Sumsub (kyc)"/>
        <s v="TabaPay"/>
        <s v="Tabby"/>
        <s v="Tamara"/>
        <s v="Tap Payments"/>
        <s v="Tappay"/>
        <s v="Tazapay"/>
        <s v="Telr"/>
        <s v="TerraPay "/>
        <s v="Thawani Pay"/>
        <s v="Thunes"/>
        <s v="Ticket Edenred BR"/>
        <s v="Tink by Visa"/>
        <s v="Tipalti (Payout)"/>
        <s v="Tokenflex"/>
        <s v="Toss Payments"/>
        <s v="Toss Payments (being acquired by ANT INTL"/>
        <s v="Totalnet (ex-Visanet)"/>
        <s v="Tpaga"/>
        <s v="Trace Finance"/>
        <s v="Transbank"/>
        <s v="Transfeera"/>
        <s v="Transfero"/>
        <s v="Triple-A"/>
        <s v="TrueLayer"/>
        <s v="TRUORA"/>
        <s v="Trust Payments"/>
        <s v="TrustDecision"/>
        <s v="Trustly"/>
        <s v="Unico"/>
        <s v="UniCredit Bank"/>
        <s v="Unlimit"/>
        <s v="VaultsPay"/>
        <s v="Ventipay"/>
        <s v="Verifone"/>
        <s v="Vero (Banrisul)"/>
        <s v="Vesta (Fraud)"/>
        <s v="VGS (Product)"/>
        <s v="Vindi"/>
        <s v="Visa"/>
        <s v="Visa BR"/>
        <s v="Volt BR"/>
        <s v="Volt Global"/>
        <s v="VR Beneficios"/>
        <s v="VTEX BR"/>
        <s v="VTEX Latam"/>
        <s v="Wake Commerce"/>
        <s v="Walapay"/>
        <s v="WCTPay"/>
        <s v="We Chat Pay Tencent"/>
        <s v="WEpayments"/>
        <s v="Wero"/>
        <s v="Wibond"/>
        <s v="Windcave"/>
        <s v="Wompi"/>
        <s v="Woovi"/>
        <s v="Worldline"/>
        <s v="WorldPay"/>
        <s v="Xendit"/>
        <s v="Yape"/>
        <s v="Yipi"/>
      </sharedItems>
    </cacheField>
    <cacheField name="Country" numFmtId="0">
      <sharedItems>
        <s v="Global"/>
        <s v="Regional"/>
        <s v="Peru"/>
        <s v="Colombia"/>
        <s v="Brasil"/>
        <s v="Mexico"/>
        <s v="USA"/>
        <s v="Republica Dominicana"/>
        <s v="Chile"/>
        <s v="Paraguai"/>
        <s v="Ecuador"/>
        <s v="Argentina"/>
        <s v="Venezuela"/>
        <s v="Belgium"/>
        <s v="Liechtenstein"/>
        <s v="UK"/>
        <s v="Poland"/>
        <s v="India"/>
        <s v="Canada"/>
        <s v="Global "/>
        <s v="Latam"/>
        <s v="Morroco"/>
        <s v="Spain"/>
        <s v="Japan"/>
        <s v="Turkey"/>
        <s v="Indonesia"/>
        <s v="Taiwan"/>
        <s v="United States"/>
        <s v="Vietnam"/>
        <s v="Uruguay"/>
        <s v="Korea"/>
        <s v="Netherlands"/>
        <s v="Thailand"/>
        <s v="APAC"/>
        <s v="Phillipines"/>
        <s v="Canadá"/>
        <s v="France"/>
        <s v="Australia"/>
        <s v="UAE"/>
        <s v="Qatar"/>
        <s v="China"/>
        <s v="Singapore"/>
        <s v="Portugal"/>
        <s v="South Asia"/>
        <s v="Oman"/>
        <s v="S. Korea"/>
      </sharedItems>
    </cacheField>
    <cacheField name="Region" numFmtId="0">
      <sharedItems containsBlank="1">
        <s v="APAC"/>
        <s v="Africa"/>
        <s v="EMEA"/>
        <s v="Global"/>
        <s v="LATAM"/>
        <s v="Brasil"/>
        <s v="North America"/>
        <s v="Regional"/>
        <m/>
        <s v="APAC/EMEA"/>
      </sharedItems>
    </cacheField>
    <cacheField name="Deal Stage" numFmtId="0">
      <sharedItems containsBlank="1">
        <s v="Agreement Signed"/>
        <s v="Opportunity Identification"/>
        <s v="Initial Negotiation"/>
        <s v="Live Partner"/>
        <s v="Agreement Review"/>
        <s v="Lost"/>
        <s v="Only to be integrated"/>
        <s v="Agreement Signed - Only referrals"/>
        <s v="Non-qualified Partner"/>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sis All Hands" cacheId="0" dataCaption="" compact="0" compactData="0">
  <location ref="A1:I8" firstHeaderRow="0" firstDataRow="1" firstDataCol="1"/>
  <pivotFields>
    <pivotField name="Provid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Region" axis="axisCol" compact="0" outline="0" multipleItemSelectionAllowed="1" showAll="0" sortType="ascending">
      <items>
        <item h="1" x="8"/>
        <item x="1"/>
        <item x="0"/>
        <item h="1" x="9"/>
        <item x="5"/>
        <item x="2"/>
        <item x="3"/>
        <item x="4"/>
        <item x="6"/>
        <item h="1" x="7"/>
        <item t="default"/>
      </items>
    </pivotField>
    <pivotField name="Deal Stage" axis="axisRow" compact="0" outline="0" multipleItemSelectionAllowed="1" showAll="0" sortType="ascending">
      <items>
        <item h="1" x="9"/>
        <item x="4"/>
        <item x="0"/>
        <item h="1" x="7"/>
        <item x="2"/>
        <item x="3"/>
        <item h="1" x="5"/>
        <item h="1" x="8"/>
        <item h="1" x="6"/>
        <item x="1"/>
        <item t="default"/>
      </items>
    </pivotField>
  </pivotFields>
  <rowFields>
    <field x="3"/>
  </rowFields>
  <colFields>
    <field x="2"/>
  </colFields>
  <dataFields>
    <dataField name="COUNTA of Provider"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6-25T15:41:08.00" personId="{c967287a-9698-4daa-b3a4-8c07c35ade9c}" id="{c75489c6-26c6-4751-871e-7244fdd411e4}" done="0">
    <x18tc:text xml:space="preserve">Entregar a tali la relacion con latam</x18tc:text>
  </x18tc:threadedComment>
  <x18tc:threadedComment ref="A1" dT="2024-06-24T18:48:22.00" personId="{7d57896f-fd7d-468a-b301-4e5448d5821b}" id="{00444b52-8fc7-48e8-90d3-0a19a0939dd6}" done="1">
    <x18tc:text xml:space="preserve">@talita@y.uno - please add your partners here. Make bold the ones which are done</x18tc:text>
    <x18tc:mentions>
      <x18tc:mention mentionpersonId="{a4a3c947-bbaa-40c7-a754-0bba6e2a8246}" mentionId="{4418aa02-397c-44de-b21a-6874fa0b2f93}" startIndex="0" length="13"/>
    </x18tc:mentions>
  </x18tc:threadedComment>
  <x18tc:threadedComment ref="A1" dT="2024-06-24T20:37:09.00" personId="{6b27ad09-45ff-45e1-9468-5bfc60b2a531}" id="{b6070d1f-c628-4fe8-9e2e-c33b6549f176}" parentId="{00444b52-8fc7-48e8-90d3-0a19a0939dd6}">
    <x18tc:text xml:space="preserve">done :)</x18tc:text>
  </x18tc:threadedComment>
  <x18tc:threadedComment ref="A1" dT="2024-06-24T21:13:03.00" personId="{7d57896f-fd7d-468a-b301-4e5448d5821b}" id="{3e49a539-8c38-44cf-a8c2-56a80b4b86b5}" parentId="{00444b52-8fc7-48e8-90d3-0a19a0939dd6}">
    <x18tc:text xml:space="preserve">Thank you, Tali!</x18tc:text>
  </x18tc:threadedComment>
  <x18tc:threadedComment ref="A1" dT="2024-06-24T19:04:39.00" personId="{7d57896f-fd7d-468a-b301-4e5448d5821b}" id="{babfc1f1-b676-4d9c-9c8a-81d61fdb8cc5}" done="1">
    <x18tc:text xml:space="preserve">@beatriz.goncalves@y.uno and @jean@y.uno please link the July reports here for reference. @jean@y.uno We will use this spreadsheet going forward to keep track of all reports which go out to the partners.
1 total reaction
Deleted user reacted with 👍 at 2024-06-24 22:45 PM</x18tc:text>
    <x18tc:mentions>
      <x18tc:mention mentionpersonId="{a24c23b3-20b3-48f8-8174-cb2762c40b88}" mentionId="{a8941a22-c053-4a91-83ed-70da33ed587c}" startIndex="0" length="24"/>
      <x18tc:mention mentionpersonId="{9af94628-021d-43f1-a7f3-f05f30b6cfaa}" mentionId="{72c20fa2-8a80-4405-87f1-f47921be8125}" startIndex="29" length="11"/>
      <x18tc:mention mentionpersonId="{9af94628-021d-43f1-a7f3-f05f30b6cfaa}" mentionId="{b5759b19-4d0d-4917-9902-5b8b4f712ed0}" startIndex="90" length="11"/>
    </x18tc:mentions>
  </x18tc:threadedComment>
  <x18tc:threadedComment ref="A1" dT="2024-06-24T19:12:33.00" personId="{4e4cadac-549f-44bc-9364-81a48519c206}" id="{d82abcda-3c7d-4363-b7c9-5d320d91dce7}" parentId="{babfc1f1-b676-4d9c-9c8a-81d61fdb8cc5}">
    <x18tc:text xml:space="preserve">perfect
1 total reaction
Deleted user reacted with 👍 at 2024-06-24 22:45 PM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1-26T13:27:28.00" personId="{d2b49c2c-0cb9-4866-89c9-632a8ac561c2}" id="{4ec2b1ff-7a32-45d5-ac13-088d7973ee58}" done="0">
    <x18tc:text xml:space="preserve">How can we manage this accounts when someone in sales wants to approach them? We will just have the contact but nobody within the company will be the main POC? Example: sales asking for someone in company X to ask if they can attend company Z, they can ask anyone in the partnerships side for support?</x18tc:text>
  </x18tc:threadedComment>
  <x18tc:threadedComment ref="C4" dT="2026-01-26T13:25:54.00" personId="{d2b49c2c-0cb9-4866-89c9-632a8ac561c2}" id="{3b3a31a9-dcd1-48bf-b7ae-f49b9be2171a}" done="0">
    <x18tc:text xml:space="preserve">Is there a difference between dedicated owner and dedicated partner manager?</x18tc:text>
  </x18tc:threadedComment>
  <x18tc:threadedComment ref="B2" dT="2026-01-26T13:23:36.00" personId="{d2b49c2c-0cb9-4866-89c9-632a8ac561c2}" id="{a9768653-8e13-42a3-88d6-61465d933aac}" done="1">
    <x18tc:text xml:space="preserve">I don't know if multi-year agreements should count here, we always try to sign something that has automatic renewal but it doesn't make them strategic and vice-versa.</x18tc:text>
  </x18tc:threadedComment>
  <x18tc:threadedComment ref="A2" dT="2026-01-26T13:20:15.00" personId="{d2b49c2c-0cb9-4866-89c9-632a8ac561c2}" id="{e32eba5f-dafd-4842-9a46-7463691eae18}" done="1">
    <x18tc:text xml:space="preserve">Then strategic is only they are already live? Like Tier 1 converts to Strategic? or if we know that they will be strategic once we have a huge portfolio of merchants we put them like this?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9" dT="2026-03-16T09:13:17.00" personId="{59948e64-219d-4234-a2d2-6e818eea8ef0}" id="{b7c5af17-dd24-4e1f-8ccc-44633b5a060c}" done="0">
    <x18tc:text xml:space="preserve">Agreement NA , for EU &amp; APAC we would need to negotiate once a merchant is requesting. Currently hold a letter of intent</x18tc:text>
  </x18tc:threadedComment>
  <x18tc:threadedComment ref="A274" dT="2026-01-29T08:52:20.00" personId="{59948e64-219d-4234-a2d2-6e818eea8ef0}" id="{f520272a-5daf-4a3e-9ba3-7f8c5443c30e}" done="1">
    <x18tc:text xml:space="preserve">@francisco.quintana@y.uno do we have a contract in place? Or is this you aiming for a global contract?</x18tc:text>
    <x18tc:mentions>
      <x18tc:mention mentionpersonId="{1d0f6187-5f14-4bd6-afc8-4ab9b8f84558}" mentionId="{3a64b6da-33d4-4027-9dca-a2fa5676b857}" startIndex="0" length="25"/>
    </x18tc:mentions>
  </x18tc:threadedComment>
  <x18tc:threadedComment ref="A274" dT="2026-01-29T09:38:50.00" personId="{ec920e1a-5ff7-4ef1-a529-49c1deab33b7}" id="{8c21ee1c-24d7-406a-abfa-e0e4bbc2794b}" parentId="{f520272a-5daf-4a3e-9ba3-7f8c5443c30e}">
    <x18tc:text xml:space="preserve">@mariana@y.uno can you please give us visibility of this?</x18tc:text>
    <x18tc:mentions>
      <x18tc:mention mentionpersonId="{01bacf93-2c43-4765-927f-9bc81ffc62e5}" mentionId="{7de71c8a-90fe-4972-8d35-113a03aafd68}" startIndex="0" length="14"/>
    </x18tc:mentions>
  </x18tc:threadedComment>
  <x18tc:threadedComment ref="A274" dT="2026-01-29T13:20:17.00" personId="{6cb09e45-13f3-4121-9fb0-f00609b63fb6}" id="{2e222f7d-df80-448b-88b7-4ad43d6fb9e5}" parentId="{f520272a-5daf-4a3e-9ba3-7f8c5443c30e}">
    <x18tc:text xml:space="preserve">I have a lot of contact around the world</x18tc:text>
  </x18tc:threadedComment>
  <x18tc:threadedComment ref="A274" dT="2026-01-29T13:20:41.00" personId="{6cb09e45-13f3-4121-9fb0-f00609b63fb6}" id="{f34d18ad-e711-4226-9ef8-28eebc434069}" parentId="{f520272a-5daf-4a3e-9ba3-7f8c5443c30e}">
    <x18tc:text xml:space="preserve">Nuvei is my account so far</x18tc:text>
  </x18tc:threadedComment>
  <x18tc:threadedComment ref="A438" dT="2025-06-09T17:32:41.00" personId="{0fe3e052-c842-428f-9011-c5e5a1a782ea}" id="{dc18ada6-4d5d-4497-ba85-2d3a8973669c}" done="0">
    <x18tc:text xml:space="preserve">@talita@y.uno have removed from kill list as I'm about to sign Volt EU</x18tc:text>
    <x18tc:mentions>
      <x18tc:mention mentionpersonId="{a4a3c947-bbaa-40c7-a754-0bba6e2a8246}" mentionId="{73d1a40a-03b0-45df-9ec8-a43b5cdb22e1}" startIndex="0" length="13"/>
    </x18tc:mentions>
  </x18tc:threadedComment>
  <x18tc:threadedComment ref="A438" dT="2025-06-16T15:46:37.00" personId="{6b27ad09-45ff-45e1-9468-5bfc60b2a531}" id="{c86040ee-7b62-4307-8360-9adb6dce45e7}" parentId="{dc18ada6-4d5d-4497-ba85-2d3a8973669c}">
    <x18tc:text xml:space="preserve">@robert.oxley@y.uno Ok!</x18tc:text>
    <x18tc:mentions>
      <x18tc:mention mentionpersonId="{6ce41ee6-bc34-406d-b4a7-89a059a87df6}" mentionId="{444ba5eb-df88-4c07-a681-915ae4b0aa4b}" startIndex="0" length="19"/>
    </x18tc:mentions>
  </x18tc:threadedComment>
  <x18tc:threadedComment ref="A466" dT="2026-03-16T16:40:31.00" personId="{eb119bf9-960e-4fac-9aff-d7eefe012dcd}" id="{ec9f49a9-2a84-4f02-bfc1-c150797e103d}" done="1">
    <x18tc:text xml:space="preserve">@daniela.reyes@y.uno Tripple A is missing  :)
Assigned to daniela.reyes@y.uno</x18tc:text>
    <x18tc:mentions>
      <x18tc:mention mentionpersonId="{b4ee1cbf-fde9-4073-8d83-229c40f36b27}" mentionId="{9c763e59-ae48-4b1e-ad64-c986d3de2d66}" startIndex="0" length="20"/>
    </x18tc:mentions>
  </x18tc:threadedComment>
  <x18tc:threadedComment ref="F1" dT="2025-04-17T02:52:44.00" personId="{eb119bf9-960e-4fac-9aff-d7eefe012dcd}" id="{634ae5fb-22a2-4e95-884d-ff9aca04e5de}" done="1">
    <x18tc:text xml:space="preserve">@ck@y.uno what is type of management means?</x18tc:text>
    <x18tc:mentions>
      <x18tc:mention mentionpersonId="{a118ba94-0c3b-41ea-a760-6c3df1f20c55}" mentionId="{19fe4029-c165-4795-8639-c0b1f9d7e476}" startIndex="0" length="9"/>
    </x18tc:mentions>
  </x18tc:threadedComment>
  <x18tc:threadedComment ref="F1" dT="2025-04-21T21:13:21.00" personId="{20b94111-0e4c-45f6-9a6e-5c861ee07cb8}" id="{bb471f78-744b-46a1-85b8-cf3d88032b81}" parentId="{634ae5fb-22a2-4e95-884d-ff9aca04e5de}">
    <x18tc:text xml:space="preserve">If the partner is in "account management" means is a signed partner. But if the status is " Business development" means we do not have a partnership agreement signed and we are working to get the partner signed. @chee@y.uno</x18tc:text>
    <x18tc:mentions>
      <x18tc:mention mentionpersonId="{67e80b2d-287c-4938-bae4-dbd67cfcfd65}" mentionId="{3a521506-a0d2-48cb-850d-923df31f1870}" startIndex="212" length="11"/>
    </x18tc:mentions>
  </x18tc:threadedComment>
  <x18tc:threadedComment ref="A409" dT="2026-03-09T14:45:31.00" personId="{d2b49c2c-0cb9-4866-89c9-632a8ac561c2}" id="{e9a352c7-1297-4f17-9cb4-1ad21064fce1}" done="0">
    <x18tc:text xml:space="preserve">buscarlos x mi lado</x18tc:text>
  </x18tc:threadedComment>
  <x18tc:threadedComment ref="A70" dT="2025-04-30T10:44:59.00" personId="{eb119bf9-960e-4fac-9aff-d7eefe012dcd}" id="{13704a47-14be-4ade-abbd-caa5b48d6c86}" done="1">
    <x18tc:text xml:space="preserve">@ck@y.uno change to your end</x18tc:text>
    <x18tc:mentions>
      <x18tc:mention mentionpersonId="{a118ba94-0c3b-41ea-a760-6c3df1f20c55}" mentionId="{9ba68604-917f-43d1-afcd-74383ad369f4}" startIndex="0" length="9"/>
    </x18tc:mentions>
  </x18tc:threadedComment>
  <x18tc:threadedComment ref="M1" dT="2025-05-22T13:52:59.00" personId="{d2b49c2c-0cb9-4866-89c9-632a8ac561c2}" id="{1175fc80-20f8-4c5a-8fb9-e15f0c110e7e}" done="0">
    <x18tc:text xml:space="preserve">@mariana@y.uno Ya esta de acuerdo a la informacion real que tengo en el forecast. Dicho eso, team @robert.oxley@y.uno @talita@y.uno @macarena.perez@y.uno porfas revisen sus cuentas porque si no he marcado 'Revshare contract' como true y si lo tienen firmado es porque tampoco lo han actualizado en el forecast (lo cual necesitamos tenemos al dia en la hoja 'Copy of Inputs Revenue Share'</x18tc:text>
    <x18tc:mentions>
      <x18tc:mention mentionpersonId="{01bacf93-2c43-4765-927f-9bc81ffc62e5}" mentionId="{2100d750-1b1b-4ffe-8e70-1beda7230a00}" startIndex="0" length="14"/>
      <x18tc:mention mentionpersonId="{6ce41ee6-bc34-406d-b4a7-89a059a87df6}" mentionId="{bfa276ce-6e6b-44aa-ae40-9b5a014c7afc}" startIndex="98" length="19"/>
      <x18tc:mention mentionpersonId="{a4a3c947-bbaa-40c7-a754-0bba6e2a8246}" mentionId="{1f2c713f-1759-42fe-b8b5-4d02b5e9bb1a}" startIndex="118" length="13"/>
      <x18tc:mention mentionpersonId="{f057a5e4-d3d7-4742-850c-7245442c578c}" mentionId="{dea707b9-cea8-4d7d-85d5-e672f15d521d}" startIndex="132" length="21"/>
    </x18tc:mentions>
  </x18tc:threadedComment>
  <x18tc:threadedComment ref="M1" dT="2025-05-26T14:47:42.00" personId="{6b27ad09-45ff-45e1-9468-5bfc60b2a531}" id="{cd3ee6fe-92b4-442a-b298-469af2f50358}" parentId="{1175fc80-20f8-4c5a-8fb9-e15f0c110e7e}">
    <x18tc:text xml:space="preserve">@alessandra.rospigliosi@y.uno Listo!</x18tc:text>
    <x18tc:mentions>
      <x18tc:mention mentionpersonId="{8b9a48ed-0a61-4b37-8467-f33c1b4e4932}" mentionId="{004247b6-76c7-452f-bb96-1042fb4c1602}" startIndex="0" length="29"/>
    </x18tc:mentions>
  </x18tc:threadedComment>
  <x18tc:threadedComment ref="M1" dT="2025-05-26T14:54:22.00" personId="{d2b49c2c-0cb9-4866-89c9-632a8ac561c2}" id="{c0b3c29e-5642-40fd-b183-d2fcbbaa1202}" parentId="{1175fc80-20f8-4c5a-8fb9-e15f0c110e7e}">
    <x18tc:text xml:space="preserve">Gracias!!</x18tc:text>
  </x18tc:threadedComment>
  <x18tc:threadedComment ref="A11" dT="2026-03-09T14:45:52.00" personId="{d2b49c2c-0cb9-4866-89c9-632a8ac561c2}" id="{efd67c01-8167-4005-8082-48f6409b4581}" done="0">
    <x18tc:text xml:space="preserve">Ver con mastercard (Tali)</x18tc:text>
  </x18tc:threadedComment>
  <x18tc:threadedComment ref="A329" dT="2026-01-29T08:51:26.00" personId="{59948e64-219d-4234-a2d2-6e818eea8ef0}" id="{7a65fc3a-1dab-458e-86f7-b3eaa07e8f6d}" done="0">
    <x18tc:text xml:space="preserve">@franklin.lo@y.uno , this deal has been signed, no?</x18tc:text>
    <x18tc:mentions>
      <x18tc:mention mentionpersonId="{7c1e2d91-9266-49fc-89c5-1b4fb52eb3a9}" mentionId="{c58b543d-1a0e-4a5f-a6d4-d34bbefd8ca2}" startIndex="0" length="18"/>
    </x18tc:mentions>
  </x18tc:threadedComment>
  <x18tc:threadedComment ref="A329" dT="2026-01-29T09:10:38.00" personId="{41e09cc8-5edb-48cc-9cb4-ad43b0309683}" id="{03f8298b-1bad-4d48-b26d-34926184f3cf}" parentId="{7a65fc3a-1dab-458e-86f7-b3eaa07e8f6d}">
    <x18tc:text xml:space="preserve">it is signed. announcement is just released today</x18tc:text>
  </x18tc:threadedComment>
  <x18tc:threadedComment ref="A448" dT="2026-03-09T14:51:44.00" personId="{d2b49c2c-0cb9-4866-89c9-632a8ac561c2}" id="{ad5c02ff-e08d-498e-975b-6662df3306f2}" done="0">
    <x18tc:text xml:space="preserve">Agentic commerce ask about it</x18tc:text>
  </x18tc:threadedComment>
  <x18tc:threadedComment ref="A8" dT="2026-01-05T16:34:34.00" personId="{6b27ad09-45ff-45e1-9468-5bfc60b2a531}" id="{76664792-bc73-4151-a155-bd0143e83ccb}" done="0">
    <x18tc:text xml:space="preserve">@johanderson.guevara@y.uno vc chegou a falar com o cara da Adiq novamente? eles estao dispostos a seguir com rev share?
Assigned to johanderson.guevara@y.uno</x18tc:text>
    <x18tc:mentions>
      <x18tc:mention mentionpersonId="{cb0b5834-b6e1-4f94-b8d4-8bbe129cd381}" mentionId="{693e96c1-051b-4e28-b34b-b7b20aee7f66}" startIndex="0" length="26"/>
    </x18tc:mentions>
  </x18tc:threadedComment>
  <x18tc:threadedComment ref="A118" dT="2026-03-09T12:50:20.00" personId="{59948e64-219d-4234-a2d2-6e818eea8ef0}" id="{de2404a0-9658-4dbf-bd89-6606bbb00af6}" done="0">
    <x18tc:text xml:space="preserve">Most important wallet in Indonesia</x18tc:text>
  </x18tc:threadedComment>
  <x18tc:threadedComment ref="A23" dT="2025-05-06T13:18:00.00" personId="{6cb09e45-13f3-4121-9fb0-f00609b63fb6}" id="{d745fbda-d1a6-4455-9eba-4f10350b9a8f}" done="1">
    <x18tc:text xml:space="preserve">@alessandra.rospigliosi@y.uno no tenemos a ningún comercio con Astropay?
Assigned to alessandra.rospigliosi@y.uno</x18tc:text>
    <x18tc:mentions>
      <x18tc:mention mentionpersonId="{8b9a48ed-0a61-4b37-8467-f33c1b4e4932}" mentionId="{adbee20c-8b30-4568-88f9-dfe3dc8de8bc}" startIndex="0" length="29"/>
    </x18tc:mentions>
  </x18tc:threadedComment>
  <x18tc:threadedComment ref="A23" dT="2025-05-06T13:29:13.00" personId="{d2b49c2c-0cb9-4866-89c9-632a8ac561c2}" id="{7a8a24cb-ab1e-4572-87fc-560db354cc88}" parentId="{d745fbda-d1a6-4455-9eba-4f10350b9a8f}">
    <x18tc:text xml:space="preserve">Segun Metabase, no tenemos nada conectado con ellos</x18tc:text>
  </x18tc:threadedComment>
  <x18tc:threadedComment ref="C208" dT="2026-03-12T20:45:41.00" personId="{d2b49c2c-0cb9-4866-89c9-632a8ac561c2}" id="{487e43a8-4646-4700-9bfb-d406f313bffb}" done="0">
    <x18tc:text xml:space="preserve">to be confirm</x18tc:text>
  </x18tc:threadedComment>
  <x18tc:threadedComment ref="K1" dT="2025-05-06T11:21:21.00" personId="{d2b49c2c-0cb9-4866-89c9-632a8ac561c2}" id="{1c83199c-c26d-4732-8d70-04eddb6eceba}" done="0">
    <x18tc:text xml:space="preserve">@mariana@y.uno @gian.davila@y.uno La columna de integration y live partners ya esta actualizada quedaria revisar si realmente hay algunos que queremos 'kill'</x18tc:text>
    <x18tc:mentions>
      <x18tc:mention mentionpersonId="{01bacf93-2c43-4765-927f-9bc81ffc62e5}" mentionId="{a0846986-f4a7-48e3-a6b4-730acc3a1843}" startIndex="0" length="14"/>
      <x18tc:mention mentionpersonId="{29cd3d03-37d3-40ad-837d-bf578b83fe91}" mentionId="{0348b0a4-1419-4d5d-89bc-0f0c14cd1bb3}" startIndex="15" length="18"/>
    </x18tc:mentions>
  </x18tc:threadedComment>
  <x18tc:threadedComment ref="K1" dT="2025-05-06T13:17:00.00" personId="{6cb09e45-13f3-4121-9fb0-f00609b63fb6}" id="{8c7c6332-1366-4469-9cb5-0007078135a8}" parentId="{1c83199c-c26d-4732-8d70-04eddb6eceba}">
    <x18tc:text xml:space="preserve">Gracias @alessandra.rospigliosi@y.uno por completar esto para todo el equipo!</x18tc:text>
    <x18tc:mentions>
      <x18tc:mention mentionpersonId="{8b9a48ed-0a61-4b37-8467-f33c1b4e4932}" mentionId="{5c5b5383-77c9-4e73-be06-5d817da5f46d}" startIndex="8" length="2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bayonet.io" TargetMode="External"/><Relationship Id="rId11" Type="http://schemas.openxmlformats.org/officeDocument/2006/relationships/vmlDrawing" Target="../drawings/vmlDrawing3.vml"/><Relationship Id="rId10" Type="http://schemas.openxmlformats.org/officeDocument/2006/relationships/drawing" Target="../drawings/drawing3.xml"/><Relationship Id="rId9" Type="http://schemas.openxmlformats.org/officeDocument/2006/relationships/hyperlink" Target="http://pagar.me" TargetMode="External"/><Relationship Id="rId5" Type="http://schemas.openxmlformats.org/officeDocument/2006/relationships/hyperlink" Target="http://crypto.com/" TargetMode="External"/><Relationship Id="rId6" Type="http://schemas.openxmlformats.org/officeDocument/2006/relationships/hyperlink" Target="https://docs.google.com/document/d/1wxx6ta4fFpdgjJ3rSo5TbprJS6XR6cjQ/edit" TargetMode="External"/><Relationship Id="rId7" Type="http://schemas.openxmlformats.org/officeDocument/2006/relationships/hyperlink" Target="http://fiuu.com/" TargetMode="External"/><Relationship Id="rId8" Type="http://schemas.openxmlformats.org/officeDocument/2006/relationships/hyperlink" Target="http://ipsp.k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17.88"/>
    <col customWidth="1" min="3" max="3" width="11.13"/>
    <col customWidth="1" min="4" max="4" width="19.13"/>
    <col customWidth="1" min="5" max="5" width="11.63"/>
    <col customWidth="1" min="6" max="6" width="23.88"/>
    <col customWidth="1" min="7" max="7" width="20.13"/>
    <col customWidth="1" min="8" max="8" width="14.25"/>
    <col customWidth="1" min="9" max="9" width="5.38"/>
    <col customWidth="1" min="10" max="10" width="51.63"/>
  </cols>
  <sheetData>
    <row r="1">
      <c r="C1" s="1"/>
      <c r="D1" s="1"/>
      <c r="E1" s="1"/>
      <c r="F1" s="1"/>
      <c r="G1" s="1"/>
    </row>
    <row r="2">
      <c r="B2" s="2" t="s">
        <v>0</v>
      </c>
      <c r="C2" s="3" t="s">
        <v>1</v>
      </c>
      <c r="D2" s="4" t="s">
        <v>2</v>
      </c>
      <c r="E2" s="5" t="s">
        <v>3</v>
      </c>
      <c r="F2" s="6" t="s">
        <v>4</v>
      </c>
      <c r="G2" s="6" t="s">
        <v>5</v>
      </c>
      <c r="H2" s="7" t="s">
        <v>6</v>
      </c>
      <c r="J2" s="8" t="s">
        <v>7</v>
      </c>
    </row>
    <row r="3">
      <c r="B3" s="9" t="s">
        <v>8</v>
      </c>
      <c r="C3" s="10">
        <f>countifs('All partners'!$G:$G,$B3,'All partners'!$F:$F,"Account Management",'All partners'!$H:$H,TRUE)</f>
        <v>16</v>
      </c>
      <c r="D3" s="11">
        <f>countifs('All partners'!$G:$G,$B3,'All partners'!$F:$F,"Account Management",'All partners'!$H:$H,FALSE)</f>
        <v>23</v>
      </c>
      <c r="E3" s="12">
        <v>1.0</v>
      </c>
      <c r="F3" s="11">
        <f>countifs('All partners'!$G:$G,$B3,'All partners'!$F:$F,"Business Development",'All partners'!$H:$H,FALSE)</f>
        <v>28</v>
      </c>
      <c r="G3" s="11">
        <f>countifs('All partners'!$G:$G,$B3,'All partners'!$F:$F,"Business Development",'All partners'!$H:$H,TRUE)</f>
        <v>10</v>
      </c>
      <c r="H3" s="13">
        <f t="shared" ref="H3:H11" si="1">sum(E3:G3)</f>
        <v>39</v>
      </c>
      <c r="J3" s="14" t="s">
        <v>9</v>
      </c>
    </row>
    <row r="4">
      <c r="B4" s="9" t="s">
        <v>10</v>
      </c>
      <c r="C4" s="10">
        <f>countifs('All partners'!$G:$G,$B4,'All partners'!$F:$F,"Account Management",'All partners'!$H:$H,TRUE)</f>
        <v>19</v>
      </c>
      <c r="D4" s="11">
        <f>countifs('All partners'!$G:$G,$B4,'All partners'!$F:$F,"Account Management",'All partners'!$H:$H,FALSE)</f>
        <v>22</v>
      </c>
      <c r="E4" s="11">
        <f t="shared" ref="E4:E12" si="2">sum(C4:D4)</f>
        <v>41</v>
      </c>
      <c r="F4" s="11">
        <f>countifs('All partners'!$G:$G,$B4,'All partners'!$F:$F,"Business Development",'All partners'!$H:$H,FALSE)</f>
        <v>13</v>
      </c>
      <c r="G4" s="11">
        <f>countifs('All partners'!$G:$G,$B4,'All partners'!$F:$F,"Business Development",'All partners'!$H:$H,TRUE)</f>
        <v>10</v>
      </c>
      <c r="H4" s="13">
        <f t="shared" si="1"/>
        <v>64</v>
      </c>
      <c r="I4" s="15">
        <f t="shared" ref="I4:I11" si="3">(H4-F4)</f>
        <v>51</v>
      </c>
    </row>
    <row r="5">
      <c r="B5" s="9" t="s">
        <v>11</v>
      </c>
      <c r="C5" s="10">
        <f>countifs('All partners'!$G:$G,$B5,'All partners'!$F:$F,"Account Management",'All partners'!$H:$H,TRUE)</f>
        <v>20</v>
      </c>
      <c r="D5" s="11">
        <f>countifs('All partners'!$G:$G,$B5,'All partners'!$F:$F,"Account Management",'All partners'!$H:$H,FALSE)</f>
        <v>22</v>
      </c>
      <c r="E5" s="11">
        <f t="shared" si="2"/>
        <v>42</v>
      </c>
      <c r="F5" s="11">
        <f>countifs('All partners'!$G:$G,$B5,'All partners'!$F:$F,"Business Development",'All partners'!$H:$H,FALSE)</f>
        <v>22</v>
      </c>
      <c r="G5" s="11">
        <f>countifs('All partners'!$G:$G,$B5,'All partners'!$F:$F,"Business Development",'All partners'!$H:$H,TRUE)</f>
        <v>16</v>
      </c>
      <c r="H5" s="13">
        <f t="shared" si="1"/>
        <v>80</v>
      </c>
      <c r="I5" s="15">
        <f t="shared" si="3"/>
        <v>58</v>
      </c>
      <c r="J5" s="16" t="s">
        <v>12</v>
      </c>
    </row>
    <row r="6">
      <c r="B6" s="9" t="s">
        <v>13</v>
      </c>
      <c r="C6" s="10">
        <f>countifs('All partners'!$G:$G,$B6,'All partners'!$F:$F,"Account Management",'All partners'!$H:$H,TRUE)</f>
        <v>0</v>
      </c>
      <c r="D6" s="11">
        <f>countifs('All partners'!$G:$G,$B6,'All partners'!$F:$F,"Account Management",'All partners'!$H:$H,FALSE)</f>
        <v>0</v>
      </c>
      <c r="E6" s="11">
        <f t="shared" si="2"/>
        <v>0</v>
      </c>
      <c r="F6" s="11">
        <f>countifs('All partners'!$G:$G,$B6,'All partners'!$F:$F,"Business Development",'All partners'!$H:$H,FALSE)</f>
        <v>0</v>
      </c>
      <c r="G6" s="11">
        <f>countifs('All partners'!$G:$G,$B6,'All partners'!$F:$F,"Business Development",'All partners'!$H:$H,TRUE)</f>
        <v>0</v>
      </c>
      <c r="H6" s="13">
        <f t="shared" si="1"/>
        <v>0</v>
      </c>
      <c r="I6" s="15">
        <f t="shared" si="3"/>
        <v>0</v>
      </c>
      <c r="J6" s="14" t="s">
        <v>14</v>
      </c>
    </row>
    <row r="7">
      <c r="B7" s="9" t="s">
        <v>15</v>
      </c>
      <c r="C7" s="10">
        <f>countifs('All partners'!$G:$G,$B7,'All partners'!$F:$F,"Account Management",'All partners'!$H:$H,TRUE)</f>
        <v>4</v>
      </c>
      <c r="D7" s="11">
        <f>countifs('All partners'!$G:$G,$B7,'All partners'!$F:$F,"Account Management",'All partners'!$H:$H,FALSE)</f>
        <v>14</v>
      </c>
      <c r="E7" s="11">
        <f t="shared" si="2"/>
        <v>18</v>
      </c>
      <c r="F7" s="11">
        <f>countifs('All partners'!$G:$G,$B7,'All partners'!$F:$F,"Business Development",'All partners'!$H:$H,FALSE)</f>
        <v>26</v>
      </c>
      <c r="G7" s="11">
        <f>countifs('All partners'!$G:$G,$B7,'All partners'!$F:$F,"Business Development",'All partners'!$H:$H,TRUE)</f>
        <v>7</v>
      </c>
      <c r="H7" s="13">
        <f t="shared" si="1"/>
        <v>51</v>
      </c>
      <c r="I7" s="15">
        <f t="shared" si="3"/>
        <v>25</v>
      </c>
    </row>
    <row r="8">
      <c r="B8" s="9" t="s">
        <v>16</v>
      </c>
      <c r="C8" s="10">
        <f>countifs('All partners'!$G:$G,$B8,'All partners'!$F:$F,"Account Management",'All partners'!$H:$H,TRUE)</f>
        <v>17</v>
      </c>
      <c r="D8" s="11">
        <f>countifs('All partners'!$G:$G,$B8,'All partners'!$F:$F,"Account Management",'All partners'!$H:$H,FALSE)</f>
        <v>23</v>
      </c>
      <c r="E8" s="11">
        <f t="shared" si="2"/>
        <v>40</v>
      </c>
      <c r="F8" s="11">
        <f>countifs('All partners'!$G:$G,$B8,'All partners'!$F:$F,"Business Development",'All partners'!$H:$H,FALSE)</f>
        <v>57</v>
      </c>
      <c r="G8" s="11">
        <f>countifs('All partners'!$G:$G,$B8,'All partners'!$F:$F,"Business Development",'All partners'!$H:$H,TRUE)</f>
        <v>5</v>
      </c>
      <c r="H8" s="13">
        <f t="shared" si="1"/>
        <v>102</v>
      </c>
      <c r="I8" s="15">
        <f t="shared" si="3"/>
        <v>45</v>
      </c>
      <c r="J8" s="16" t="s">
        <v>17</v>
      </c>
    </row>
    <row r="9">
      <c r="B9" s="17" t="s">
        <v>18</v>
      </c>
      <c r="C9" s="10">
        <f>countifs('All partners'!$G:$G,$B9,'All partners'!$F:$F,"Account Management",'All partners'!$H:$H,TRUE)</f>
        <v>0</v>
      </c>
      <c r="D9" s="11">
        <f>countifs('All partners'!$G:$G,$B9,'All partners'!$F:$F,"Account Management",'All partners'!$H:$H,FALSE)</f>
        <v>0</v>
      </c>
      <c r="E9" s="11">
        <f t="shared" si="2"/>
        <v>0</v>
      </c>
      <c r="F9" s="11">
        <f>countifs('All partners'!$G:$G,$B9,'All partners'!$F:$F,"Business Development",'All partners'!$H:$H,FALSE)</f>
        <v>0</v>
      </c>
      <c r="G9" s="11">
        <f>countifs('All partners'!$G:$G,$B9,'All partners'!$F:$F,"Business Development",'All partners'!$H:$H,TRUE)</f>
        <v>0</v>
      </c>
      <c r="H9" s="13">
        <f t="shared" si="1"/>
        <v>0</v>
      </c>
      <c r="I9" s="15">
        <f t="shared" si="3"/>
        <v>0</v>
      </c>
      <c r="J9" s="18" t="s">
        <v>19</v>
      </c>
    </row>
    <row r="10">
      <c r="B10" s="17" t="s">
        <v>20</v>
      </c>
      <c r="C10" s="10">
        <f>countifs('All partners'!$G:$G,$B10,'All partners'!$F:$F,"Account Management",'All partners'!$H:$H,TRUE)</f>
        <v>0</v>
      </c>
      <c r="D10" s="11">
        <f>countifs('All partners'!$G:$G,$B10,'All partners'!$F:$F,"Account Management",'All partners'!$H:$H,FALSE)</f>
        <v>0</v>
      </c>
      <c r="E10" s="11">
        <f t="shared" si="2"/>
        <v>0</v>
      </c>
      <c r="F10" s="11">
        <f>countifs('All partners'!$G:$G,$B10,'All partners'!$F:$F,"Business Development",'All partners'!$H:$H,FALSE)</f>
        <v>0</v>
      </c>
      <c r="G10" s="11">
        <f>countifs('All partners'!$G:$G,$B10,'All partners'!$F:$F,"Business Development",'All partners'!$H:$H,TRUE)</f>
        <v>0</v>
      </c>
      <c r="H10" s="13">
        <f t="shared" si="1"/>
        <v>0</v>
      </c>
      <c r="I10" s="15">
        <f t="shared" si="3"/>
        <v>0</v>
      </c>
      <c r="J10" s="18"/>
    </row>
    <row r="11">
      <c r="B11" s="17" t="s">
        <v>21</v>
      </c>
      <c r="C11" s="10">
        <f>countifs('All partners'!$G:$G,$B11,'All partners'!$F:$F,"Account Management",'All partners'!$H:$H,TRUE)</f>
        <v>1</v>
      </c>
      <c r="D11" s="11">
        <f>countifs('All partners'!$G:$G,$B11,'All partners'!$F:$F,"Account Management",'All partners'!$H:$H,FALSE)</f>
        <v>8</v>
      </c>
      <c r="E11" s="11">
        <f t="shared" si="2"/>
        <v>9</v>
      </c>
      <c r="F11" s="11">
        <f>countifs('All partners'!$G:$G,$B11,'All partners'!$F:$F,"Business Development",'All partners'!$H:$H,FALSE)</f>
        <v>39</v>
      </c>
      <c r="G11" s="11">
        <f>countifs('All partners'!$G:$G,$B11,'All partners'!$F:$F,"Business Development",'All partners'!$H:$H,TRUE)</f>
        <v>1</v>
      </c>
      <c r="H11" s="13">
        <f t="shared" si="1"/>
        <v>49</v>
      </c>
      <c r="I11" s="15">
        <f t="shared" si="3"/>
        <v>10</v>
      </c>
      <c r="J11" s="18"/>
    </row>
    <row r="12">
      <c r="B12" s="19" t="s">
        <v>22</v>
      </c>
      <c r="C12" s="20">
        <f t="shared" ref="C12:D12" si="4">sum(C3:C11)</f>
        <v>77</v>
      </c>
      <c r="D12" s="21">
        <f t="shared" si="4"/>
        <v>112</v>
      </c>
      <c r="E12" s="21">
        <f t="shared" si="2"/>
        <v>189</v>
      </c>
      <c r="F12" s="21">
        <f t="shared" ref="F12:H12" si="5">sum(F3:F11)</f>
        <v>185</v>
      </c>
      <c r="G12" s="21">
        <f t="shared" si="5"/>
        <v>49</v>
      </c>
      <c r="H12" s="21">
        <f t="shared" si="5"/>
        <v>385</v>
      </c>
    </row>
    <row r="13">
      <c r="C13" s="1"/>
      <c r="D13" s="1"/>
      <c r="E13" s="1"/>
      <c r="F13" s="1"/>
      <c r="G13" s="1"/>
      <c r="J13" s="8" t="s">
        <v>23</v>
      </c>
    </row>
    <row r="14">
      <c r="C14" s="1">
        <f>C5+G5</f>
        <v>36</v>
      </c>
      <c r="D14" s="1"/>
      <c r="E14" s="1"/>
      <c r="F14" s="1"/>
      <c r="G14" s="1"/>
    </row>
    <row r="15">
      <c r="C15" s="1"/>
      <c r="D15" s="1"/>
      <c r="E15" s="1"/>
      <c r="F15" s="1"/>
      <c r="G15" s="1"/>
    </row>
    <row r="16">
      <c r="C16" s="1"/>
      <c r="D16" s="1"/>
      <c r="E16" s="1"/>
      <c r="F16" s="1"/>
      <c r="G16" s="1"/>
      <c r="J16" s="16" t="s">
        <v>24</v>
      </c>
    </row>
    <row r="17">
      <c r="C17" s="1"/>
      <c r="D17" s="1"/>
      <c r="E17" s="1"/>
      <c r="F17" s="1"/>
      <c r="G17" s="1"/>
      <c r="J17" s="22" t="s">
        <v>25</v>
      </c>
    </row>
    <row r="18">
      <c r="C18" s="1"/>
      <c r="D18" s="1"/>
      <c r="E18" s="1"/>
      <c r="F18" s="1"/>
      <c r="G18" s="1"/>
    </row>
    <row r="19">
      <c r="C19" s="1"/>
      <c r="D19" s="1"/>
      <c r="E19" s="1"/>
      <c r="F19" s="1"/>
      <c r="G19" s="1"/>
      <c r="J19" s="8" t="s">
        <v>26</v>
      </c>
    </row>
    <row r="20">
      <c r="C20" s="1"/>
      <c r="D20" s="1"/>
      <c r="E20" s="1"/>
      <c r="F20" s="1"/>
      <c r="G20" s="1"/>
    </row>
    <row r="21">
      <c r="C21" s="1"/>
      <c r="D21" s="1"/>
      <c r="E21" s="1"/>
      <c r="F21" s="1"/>
      <c r="G21" s="1"/>
    </row>
    <row r="22">
      <c r="C22" s="1"/>
      <c r="D22" s="1"/>
      <c r="E22" s="1"/>
      <c r="F22" s="1"/>
      <c r="G22" s="1"/>
    </row>
    <row r="23">
      <c r="C23" s="1"/>
      <c r="D23" s="1"/>
      <c r="E23" s="1"/>
      <c r="F23" s="1"/>
      <c r="G23" s="1"/>
    </row>
    <row r="24">
      <c r="C24" s="1"/>
      <c r="D24" s="1"/>
      <c r="E24" s="1"/>
      <c r="F24" s="1"/>
      <c r="G24" s="1"/>
    </row>
    <row r="25">
      <c r="C25" s="1"/>
      <c r="D25" s="1"/>
      <c r="E25" s="1"/>
      <c r="F25" s="1"/>
      <c r="G25" s="1"/>
    </row>
    <row r="26">
      <c r="C26" s="1"/>
      <c r="D26" s="1"/>
      <c r="E26" s="1"/>
      <c r="F26" s="1"/>
      <c r="G26" s="1"/>
    </row>
    <row r="27">
      <c r="C27" s="1"/>
      <c r="D27" s="1"/>
      <c r="E27" s="1"/>
      <c r="F27" s="1"/>
      <c r="G27" s="1"/>
    </row>
    <row r="28">
      <c r="C28" s="1"/>
      <c r="D28" s="1"/>
      <c r="E28" s="1"/>
      <c r="F28" s="1"/>
      <c r="G28" s="1"/>
    </row>
    <row r="29">
      <c r="C29" s="1"/>
      <c r="D29" s="1"/>
      <c r="E29" s="1"/>
      <c r="F29" s="1"/>
      <c r="G29" s="1"/>
    </row>
    <row r="30">
      <c r="C30" s="1"/>
      <c r="D30" s="1"/>
      <c r="E30" s="1"/>
      <c r="F30" s="1"/>
      <c r="G30" s="1"/>
    </row>
    <row r="31">
      <c r="C31" s="1"/>
      <c r="D31" s="1"/>
      <c r="E31" s="1"/>
      <c r="F31" s="1"/>
      <c r="G31" s="1"/>
    </row>
    <row r="32">
      <c r="C32" s="1"/>
      <c r="D32" s="1"/>
      <c r="E32" s="1"/>
      <c r="F32" s="1"/>
      <c r="G32" s="1"/>
    </row>
    <row r="33">
      <c r="C33" s="1"/>
      <c r="D33" s="1"/>
      <c r="E33" s="1"/>
      <c r="F33" s="1"/>
      <c r="G33" s="1"/>
    </row>
    <row r="34">
      <c r="C34" s="1"/>
      <c r="D34" s="1"/>
      <c r="E34" s="1"/>
      <c r="F34" s="1"/>
      <c r="G34" s="1"/>
    </row>
    <row r="35">
      <c r="C35" s="1"/>
      <c r="D35" s="1"/>
      <c r="E35" s="1"/>
      <c r="F35" s="1"/>
      <c r="G35" s="1"/>
    </row>
    <row r="36">
      <c r="C36" s="1"/>
      <c r="D36" s="1"/>
      <c r="E36" s="1"/>
      <c r="F36" s="1"/>
      <c r="G36" s="1"/>
    </row>
    <row r="37">
      <c r="C37" s="1"/>
      <c r="D37" s="1"/>
      <c r="E37" s="1"/>
      <c r="F37" s="1"/>
      <c r="G37" s="1"/>
    </row>
    <row r="38">
      <c r="C38" s="1"/>
      <c r="D38" s="1"/>
      <c r="E38" s="1"/>
      <c r="F38" s="1"/>
      <c r="G38" s="1"/>
    </row>
    <row r="39">
      <c r="C39" s="1"/>
      <c r="D39" s="1"/>
      <c r="E39" s="1"/>
      <c r="F39" s="1"/>
      <c r="G39" s="1"/>
    </row>
    <row r="40">
      <c r="C40" s="1"/>
      <c r="D40" s="1"/>
      <c r="E40" s="1"/>
      <c r="F40" s="1"/>
      <c r="G40" s="1"/>
    </row>
    <row r="41">
      <c r="C41" s="1"/>
      <c r="D41" s="1"/>
      <c r="E41" s="1"/>
      <c r="F41" s="1"/>
      <c r="G41" s="1"/>
    </row>
    <row r="42">
      <c r="C42" s="1"/>
      <c r="D42" s="1"/>
      <c r="E42" s="1"/>
      <c r="F42" s="1"/>
      <c r="G42" s="1"/>
    </row>
    <row r="43">
      <c r="C43" s="1"/>
      <c r="D43" s="1"/>
      <c r="E43" s="1"/>
      <c r="F43" s="1"/>
      <c r="G43" s="1"/>
    </row>
    <row r="44">
      <c r="C44" s="1"/>
      <c r="D44" s="1"/>
      <c r="E44" s="1"/>
      <c r="F44" s="1"/>
      <c r="G44" s="1"/>
    </row>
    <row r="45">
      <c r="C45" s="1"/>
      <c r="D45" s="1"/>
      <c r="E45" s="1"/>
      <c r="F45" s="1"/>
      <c r="G45" s="1"/>
    </row>
    <row r="46">
      <c r="C46" s="1"/>
      <c r="D46" s="1"/>
      <c r="E46" s="1"/>
      <c r="F46" s="1"/>
      <c r="G46" s="1"/>
    </row>
    <row r="47">
      <c r="C47" s="1"/>
      <c r="D47" s="1"/>
      <c r="E47" s="1"/>
      <c r="F47" s="1"/>
      <c r="G47" s="1"/>
    </row>
    <row r="48">
      <c r="C48" s="1"/>
      <c r="D48" s="1"/>
      <c r="E48" s="1"/>
      <c r="F48" s="1"/>
      <c r="G48" s="1"/>
    </row>
    <row r="49">
      <c r="C49" s="1"/>
      <c r="D49" s="1"/>
      <c r="E49" s="1"/>
      <c r="F49" s="1"/>
      <c r="G49" s="1"/>
    </row>
    <row r="50">
      <c r="C50" s="1"/>
      <c r="D50" s="1"/>
      <c r="E50" s="1"/>
      <c r="F50" s="1"/>
      <c r="G50" s="1"/>
    </row>
    <row r="51">
      <c r="C51" s="1"/>
      <c r="D51" s="1"/>
      <c r="E51" s="1"/>
      <c r="F51" s="1"/>
      <c r="G51" s="1"/>
    </row>
    <row r="52">
      <c r="C52" s="1"/>
      <c r="D52" s="1"/>
      <c r="E52" s="1"/>
      <c r="F52" s="1"/>
      <c r="G52" s="1"/>
    </row>
    <row r="53">
      <c r="C53" s="1"/>
      <c r="D53" s="1"/>
      <c r="E53" s="1"/>
      <c r="F53" s="1"/>
      <c r="G53" s="1"/>
    </row>
    <row r="54">
      <c r="C54" s="1"/>
      <c r="D54" s="1"/>
      <c r="E54" s="1"/>
      <c r="F54" s="1"/>
      <c r="G54" s="1"/>
    </row>
    <row r="55">
      <c r="C55" s="1"/>
      <c r="D55" s="1"/>
      <c r="E55" s="1"/>
      <c r="F55" s="1"/>
      <c r="G55" s="1"/>
    </row>
    <row r="56">
      <c r="C56" s="1"/>
      <c r="D56" s="1"/>
      <c r="E56" s="1"/>
      <c r="F56" s="1"/>
      <c r="G56" s="1"/>
    </row>
    <row r="57">
      <c r="C57" s="1"/>
      <c r="D57" s="1"/>
      <c r="E57" s="1"/>
      <c r="F57" s="1"/>
      <c r="G57" s="1"/>
    </row>
    <row r="58">
      <c r="C58" s="1"/>
      <c r="D58" s="1"/>
      <c r="E58" s="1"/>
      <c r="F58" s="1"/>
      <c r="G58" s="1"/>
    </row>
    <row r="59">
      <c r="C59" s="1"/>
      <c r="D59" s="1"/>
      <c r="E59" s="1"/>
      <c r="F59" s="1"/>
      <c r="G59" s="1"/>
    </row>
    <row r="60">
      <c r="C60" s="1"/>
      <c r="D60" s="1"/>
      <c r="E60" s="1"/>
      <c r="F60" s="1"/>
      <c r="G60" s="1"/>
    </row>
    <row r="61">
      <c r="C61" s="1"/>
      <c r="D61" s="1"/>
      <c r="E61" s="1"/>
      <c r="F61" s="1"/>
      <c r="G61" s="1"/>
    </row>
    <row r="62">
      <c r="C62" s="1"/>
      <c r="D62" s="1"/>
      <c r="E62" s="1"/>
      <c r="F62" s="1"/>
      <c r="G62" s="1"/>
    </row>
    <row r="63">
      <c r="C63" s="1"/>
      <c r="D63" s="1"/>
      <c r="E63" s="1"/>
      <c r="F63" s="1"/>
      <c r="G63" s="1"/>
    </row>
    <row r="64">
      <c r="C64" s="1"/>
      <c r="D64" s="1"/>
      <c r="E64" s="1"/>
      <c r="F64" s="1"/>
      <c r="G64" s="1"/>
    </row>
    <row r="65">
      <c r="C65" s="1"/>
      <c r="D65" s="1"/>
      <c r="E65" s="1"/>
      <c r="F65" s="1"/>
      <c r="G65" s="1"/>
    </row>
    <row r="66">
      <c r="C66" s="1"/>
      <c r="D66" s="1"/>
      <c r="E66" s="1"/>
      <c r="F66" s="1"/>
      <c r="G66" s="1"/>
    </row>
    <row r="67">
      <c r="C67" s="1"/>
      <c r="D67" s="1"/>
      <c r="E67" s="1"/>
      <c r="F67" s="1"/>
      <c r="G67" s="1"/>
    </row>
    <row r="68">
      <c r="C68" s="1"/>
      <c r="D68" s="1"/>
      <c r="E68" s="1"/>
      <c r="F68" s="1"/>
      <c r="G68" s="1"/>
    </row>
    <row r="69">
      <c r="C69" s="1"/>
      <c r="D69" s="1"/>
      <c r="E69" s="1"/>
      <c r="F69" s="1"/>
      <c r="G69" s="1"/>
    </row>
    <row r="70">
      <c r="C70" s="1"/>
      <c r="D70" s="1"/>
      <c r="E70" s="1"/>
      <c r="F70" s="1"/>
      <c r="G70" s="1"/>
    </row>
    <row r="71">
      <c r="C71" s="1"/>
      <c r="D71" s="1"/>
      <c r="E71" s="1"/>
      <c r="F71" s="1"/>
      <c r="G71" s="1"/>
    </row>
    <row r="72">
      <c r="C72" s="1"/>
      <c r="D72" s="1"/>
      <c r="E72" s="1"/>
      <c r="F72" s="1"/>
      <c r="G72" s="1"/>
    </row>
    <row r="73">
      <c r="C73" s="1"/>
      <c r="D73" s="1"/>
      <c r="E73" s="1"/>
      <c r="F73" s="1"/>
      <c r="G73" s="1"/>
    </row>
    <row r="74">
      <c r="C74" s="1"/>
      <c r="D74" s="1"/>
      <c r="E74" s="1"/>
      <c r="F74" s="1"/>
      <c r="G74" s="1"/>
    </row>
    <row r="75">
      <c r="C75" s="1"/>
      <c r="D75" s="1"/>
      <c r="E75" s="1"/>
      <c r="F75" s="1"/>
      <c r="G75" s="1"/>
    </row>
    <row r="76">
      <c r="C76" s="1"/>
      <c r="D76" s="1"/>
      <c r="E76" s="1"/>
      <c r="F76" s="1"/>
      <c r="G76" s="1"/>
    </row>
    <row r="77">
      <c r="C77" s="1"/>
      <c r="D77" s="1"/>
      <c r="E77" s="1"/>
      <c r="F77" s="1"/>
      <c r="G77" s="1"/>
    </row>
    <row r="78">
      <c r="C78" s="1"/>
      <c r="D78" s="1"/>
      <c r="E78" s="1"/>
      <c r="F78" s="1"/>
      <c r="G78" s="1"/>
    </row>
    <row r="79">
      <c r="C79" s="1"/>
      <c r="D79" s="1"/>
      <c r="E79" s="1"/>
      <c r="F79" s="1"/>
      <c r="G79" s="1"/>
    </row>
    <row r="80">
      <c r="C80" s="1"/>
      <c r="D80" s="1"/>
      <c r="E80" s="1"/>
      <c r="F80" s="1"/>
      <c r="G80" s="1"/>
    </row>
    <row r="81">
      <c r="C81" s="1"/>
      <c r="D81" s="1"/>
      <c r="E81" s="1"/>
      <c r="F81" s="1"/>
      <c r="G81" s="1"/>
    </row>
    <row r="82">
      <c r="C82" s="1"/>
      <c r="D82" s="1"/>
      <c r="E82" s="1"/>
      <c r="F82" s="1"/>
      <c r="G82" s="1"/>
    </row>
    <row r="83">
      <c r="C83" s="1"/>
      <c r="D83" s="1"/>
      <c r="E83" s="1"/>
      <c r="F83" s="1"/>
      <c r="G83" s="1"/>
    </row>
    <row r="84">
      <c r="C84" s="1"/>
      <c r="D84" s="1"/>
      <c r="E84" s="1"/>
      <c r="F84" s="1"/>
      <c r="G84" s="1"/>
    </row>
    <row r="85">
      <c r="C85" s="1"/>
      <c r="D85" s="1"/>
      <c r="E85" s="1"/>
      <c r="F85" s="1"/>
      <c r="G85" s="1"/>
    </row>
    <row r="86">
      <c r="C86" s="1"/>
      <c r="D86" s="1"/>
      <c r="E86" s="1"/>
      <c r="F86" s="1"/>
      <c r="G86" s="1"/>
    </row>
    <row r="87">
      <c r="C87" s="1"/>
      <c r="D87" s="1"/>
      <c r="E87" s="1"/>
      <c r="F87" s="1"/>
      <c r="G87" s="1"/>
    </row>
    <row r="88">
      <c r="C88" s="1"/>
      <c r="D88" s="1"/>
      <c r="E88" s="1"/>
      <c r="F88" s="1"/>
      <c r="G88" s="1"/>
    </row>
    <row r="89">
      <c r="C89" s="1"/>
      <c r="D89" s="1"/>
      <c r="E89" s="1"/>
      <c r="F89" s="1"/>
      <c r="G89" s="1"/>
    </row>
    <row r="90">
      <c r="C90" s="1"/>
      <c r="D90" s="1"/>
      <c r="E90" s="1"/>
      <c r="F90" s="1"/>
      <c r="G90" s="1"/>
    </row>
    <row r="91">
      <c r="C91" s="1"/>
      <c r="D91" s="1"/>
      <c r="E91" s="1"/>
      <c r="F91" s="1"/>
      <c r="G91" s="1"/>
    </row>
    <row r="92">
      <c r="C92" s="1"/>
      <c r="D92" s="1"/>
      <c r="E92" s="1"/>
      <c r="F92" s="1"/>
      <c r="G92" s="1"/>
    </row>
    <row r="93">
      <c r="C93" s="1"/>
      <c r="D93" s="1"/>
      <c r="E93" s="1"/>
      <c r="F93" s="1"/>
      <c r="G93" s="1"/>
    </row>
    <row r="94">
      <c r="C94" s="1"/>
      <c r="D94" s="1"/>
      <c r="E94" s="1"/>
      <c r="F94" s="1"/>
      <c r="G94" s="1"/>
    </row>
    <row r="95">
      <c r="C95" s="1"/>
      <c r="D95" s="1"/>
      <c r="E95" s="1"/>
      <c r="F95" s="1"/>
      <c r="G95" s="1"/>
    </row>
    <row r="96">
      <c r="C96" s="1"/>
      <c r="D96" s="1"/>
      <c r="E96" s="1"/>
      <c r="F96" s="1"/>
      <c r="G96" s="1"/>
    </row>
    <row r="97">
      <c r="C97" s="1"/>
      <c r="D97" s="1"/>
      <c r="E97" s="1"/>
      <c r="F97" s="1"/>
      <c r="G97" s="1"/>
    </row>
    <row r="98">
      <c r="C98" s="1"/>
      <c r="D98" s="1"/>
      <c r="E98" s="1"/>
      <c r="F98" s="1"/>
      <c r="G98" s="1"/>
    </row>
    <row r="99">
      <c r="C99" s="1"/>
      <c r="D99" s="1"/>
      <c r="E99" s="1"/>
      <c r="F99" s="1"/>
      <c r="G99" s="1"/>
    </row>
    <row r="100">
      <c r="C100" s="1"/>
      <c r="D100" s="1"/>
      <c r="E100" s="1"/>
      <c r="F100" s="1"/>
      <c r="G100" s="1"/>
    </row>
    <row r="101">
      <c r="C101" s="1"/>
      <c r="D101" s="1"/>
      <c r="E101" s="1"/>
      <c r="F101" s="1"/>
      <c r="G101" s="1"/>
    </row>
    <row r="102">
      <c r="C102" s="1"/>
      <c r="D102" s="1"/>
      <c r="E102" s="1"/>
      <c r="F102" s="1"/>
      <c r="G102" s="1"/>
    </row>
    <row r="103">
      <c r="C103" s="1"/>
      <c r="D103" s="1"/>
      <c r="E103" s="1"/>
      <c r="F103" s="1"/>
      <c r="G103" s="1"/>
    </row>
    <row r="104">
      <c r="C104" s="1"/>
      <c r="D104" s="1"/>
      <c r="E104" s="1"/>
      <c r="F104" s="1"/>
      <c r="G104" s="1"/>
    </row>
    <row r="105">
      <c r="C105" s="1"/>
      <c r="D105" s="1"/>
      <c r="E105" s="1"/>
      <c r="F105" s="1"/>
      <c r="G105" s="1"/>
    </row>
    <row r="106">
      <c r="C106" s="1"/>
      <c r="D106" s="1"/>
      <c r="E106" s="1"/>
      <c r="F106" s="1"/>
      <c r="G106" s="1"/>
    </row>
    <row r="107">
      <c r="C107" s="1"/>
      <c r="D107" s="1"/>
      <c r="E107" s="1"/>
      <c r="F107" s="1"/>
      <c r="G107" s="1"/>
    </row>
    <row r="108">
      <c r="C108" s="1"/>
      <c r="D108" s="1"/>
      <c r="E108" s="1"/>
      <c r="F108" s="1"/>
      <c r="G108" s="1"/>
    </row>
    <row r="109">
      <c r="C109" s="1"/>
      <c r="D109" s="1"/>
      <c r="E109" s="1"/>
      <c r="F109" s="1"/>
      <c r="G109" s="1"/>
    </row>
    <row r="110">
      <c r="C110" s="1"/>
      <c r="D110" s="1"/>
      <c r="E110" s="1"/>
      <c r="F110" s="1"/>
      <c r="G110" s="1"/>
    </row>
    <row r="111">
      <c r="C111" s="1"/>
      <c r="D111" s="1"/>
      <c r="E111" s="1"/>
      <c r="F111" s="1"/>
      <c r="G111" s="1"/>
    </row>
    <row r="112">
      <c r="C112" s="1"/>
      <c r="D112" s="1"/>
      <c r="E112" s="1"/>
      <c r="F112" s="1"/>
      <c r="G112" s="1"/>
    </row>
    <row r="113">
      <c r="C113" s="1"/>
      <c r="D113" s="1"/>
      <c r="E113" s="1"/>
      <c r="F113" s="1"/>
      <c r="G113" s="1"/>
    </row>
    <row r="114">
      <c r="C114" s="1"/>
      <c r="D114" s="1"/>
      <c r="E114" s="1"/>
      <c r="F114" s="1"/>
      <c r="G114" s="1"/>
    </row>
    <row r="115">
      <c r="C115" s="1"/>
      <c r="D115" s="1"/>
      <c r="E115" s="1"/>
      <c r="F115" s="1"/>
      <c r="G115" s="1"/>
    </row>
    <row r="116">
      <c r="C116" s="1"/>
      <c r="D116" s="1"/>
      <c r="E116" s="1"/>
      <c r="F116" s="1"/>
      <c r="G116" s="1"/>
    </row>
    <row r="117">
      <c r="C117" s="1"/>
      <c r="D117" s="1"/>
      <c r="E117" s="1"/>
      <c r="F117" s="1"/>
      <c r="G117" s="1"/>
    </row>
    <row r="118">
      <c r="C118" s="1"/>
      <c r="D118" s="1"/>
      <c r="E118" s="1"/>
      <c r="F118" s="1"/>
      <c r="G118" s="1"/>
    </row>
    <row r="119">
      <c r="C119" s="1"/>
      <c r="D119" s="1"/>
      <c r="E119" s="1"/>
      <c r="F119" s="1"/>
      <c r="G119" s="1"/>
    </row>
    <row r="120">
      <c r="C120" s="1"/>
      <c r="D120" s="1"/>
      <c r="E120" s="1"/>
      <c r="F120" s="1"/>
      <c r="G120" s="1"/>
    </row>
    <row r="121">
      <c r="C121" s="1"/>
      <c r="D121" s="1"/>
      <c r="E121" s="1"/>
      <c r="F121" s="1"/>
      <c r="G121" s="1"/>
    </row>
    <row r="122">
      <c r="C122" s="1"/>
      <c r="D122" s="1"/>
      <c r="E122" s="1"/>
      <c r="F122" s="1"/>
      <c r="G122" s="1"/>
    </row>
    <row r="123">
      <c r="C123" s="1"/>
      <c r="D123" s="1"/>
      <c r="E123" s="1"/>
      <c r="F123" s="1"/>
      <c r="G123" s="1"/>
    </row>
    <row r="124">
      <c r="C124" s="1"/>
      <c r="D124" s="1"/>
      <c r="E124" s="1"/>
      <c r="F124" s="1"/>
      <c r="G124" s="1"/>
    </row>
    <row r="125">
      <c r="C125" s="1"/>
      <c r="D125" s="1"/>
      <c r="E125" s="1"/>
      <c r="F125" s="1"/>
      <c r="G125" s="1"/>
    </row>
    <row r="126">
      <c r="C126" s="1"/>
      <c r="D126" s="1"/>
      <c r="E126" s="1"/>
      <c r="F126" s="1"/>
      <c r="G126" s="1"/>
    </row>
    <row r="127">
      <c r="C127" s="1"/>
      <c r="D127" s="1"/>
      <c r="E127" s="1"/>
      <c r="F127" s="1"/>
      <c r="G127" s="1"/>
    </row>
    <row r="128">
      <c r="C128" s="1"/>
      <c r="D128" s="1"/>
      <c r="E128" s="1"/>
      <c r="F128" s="1"/>
      <c r="G128" s="1"/>
    </row>
    <row r="129">
      <c r="C129" s="1"/>
      <c r="D129" s="1"/>
      <c r="E129" s="1"/>
      <c r="F129" s="1"/>
      <c r="G129" s="1"/>
    </row>
    <row r="130">
      <c r="C130" s="1"/>
      <c r="D130" s="1"/>
      <c r="E130" s="1"/>
      <c r="F130" s="1"/>
      <c r="G130" s="1"/>
    </row>
    <row r="131">
      <c r="C131" s="1"/>
      <c r="D131" s="1"/>
      <c r="E131" s="1"/>
      <c r="F131" s="1"/>
      <c r="G131" s="1"/>
    </row>
    <row r="132">
      <c r="C132" s="1"/>
      <c r="D132" s="1"/>
      <c r="E132" s="1"/>
      <c r="F132" s="1"/>
      <c r="G132" s="1"/>
    </row>
    <row r="133">
      <c r="C133" s="1"/>
      <c r="D133" s="1"/>
      <c r="E133" s="1"/>
      <c r="F133" s="1"/>
      <c r="G133" s="1"/>
    </row>
    <row r="134">
      <c r="C134" s="1"/>
      <c r="D134" s="1"/>
      <c r="E134" s="1"/>
      <c r="F134" s="1"/>
      <c r="G134" s="1"/>
    </row>
    <row r="135">
      <c r="C135" s="1"/>
      <c r="D135" s="1"/>
      <c r="E135" s="1"/>
      <c r="F135" s="1"/>
      <c r="G135" s="1"/>
    </row>
    <row r="136">
      <c r="C136" s="1"/>
      <c r="D136" s="1"/>
      <c r="E136" s="1"/>
      <c r="F136" s="1"/>
      <c r="G136" s="1"/>
    </row>
    <row r="137">
      <c r="C137" s="1"/>
      <c r="D137" s="1"/>
      <c r="E137" s="1"/>
      <c r="F137" s="1"/>
      <c r="G137" s="1"/>
    </row>
    <row r="138">
      <c r="C138" s="1"/>
      <c r="D138" s="1"/>
      <c r="E138" s="1"/>
      <c r="F138" s="1"/>
      <c r="G138" s="1"/>
    </row>
    <row r="139">
      <c r="C139" s="1"/>
      <c r="D139" s="1"/>
      <c r="E139" s="1"/>
      <c r="F139" s="1"/>
      <c r="G139" s="1"/>
    </row>
    <row r="140">
      <c r="C140" s="1"/>
      <c r="D140" s="1"/>
      <c r="E140" s="1"/>
      <c r="F140" s="1"/>
      <c r="G140" s="1"/>
    </row>
    <row r="141">
      <c r="C141" s="1"/>
      <c r="D141" s="1"/>
      <c r="E141" s="1"/>
      <c r="F141" s="1"/>
      <c r="G141" s="1"/>
    </row>
    <row r="142">
      <c r="C142" s="1"/>
      <c r="D142" s="1"/>
      <c r="E142" s="1"/>
      <c r="F142" s="1"/>
      <c r="G142" s="1"/>
    </row>
    <row r="143">
      <c r="C143" s="1"/>
      <c r="D143" s="1"/>
      <c r="E143" s="1"/>
      <c r="F143" s="1"/>
      <c r="G143" s="1"/>
    </row>
    <row r="144">
      <c r="C144" s="1"/>
      <c r="D144" s="1"/>
      <c r="E144" s="1"/>
      <c r="F144" s="1"/>
      <c r="G144" s="1"/>
    </row>
    <row r="145">
      <c r="C145" s="1"/>
      <c r="D145" s="1"/>
      <c r="E145" s="1"/>
      <c r="F145" s="1"/>
      <c r="G145" s="1"/>
    </row>
    <row r="146">
      <c r="C146" s="1"/>
      <c r="D146" s="1"/>
      <c r="E146" s="1"/>
      <c r="F146" s="1"/>
      <c r="G146" s="1"/>
    </row>
    <row r="147">
      <c r="C147" s="1"/>
      <c r="D147" s="1"/>
      <c r="E147" s="1"/>
      <c r="F147" s="1"/>
      <c r="G147" s="1"/>
    </row>
    <row r="148">
      <c r="C148" s="1"/>
      <c r="D148" s="1"/>
      <c r="E148" s="1"/>
      <c r="F148" s="1"/>
      <c r="G148" s="1"/>
    </row>
    <row r="149">
      <c r="C149" s="1"/>
      <c r="D149" s="1"/>
      <c r="E149" s="1"/>
      <c r="F149" s="1"/>
      <c r="G149" s="1"/>
    </row>
    <row r="150">
      <c r="C150" s="1"/>
      <c r="D150" s="1"/>
      <c r="E150" s="1"/>
      <c r="F150" s="1"/>
      <c r="G150" s="1"/>
    </row>
    <row r="151">
      <c r="C151" s="1"/>
      <c r="D151" s="1"/>
      <c r="E151" s="1"/>
      <c r="F151" s="1"/>
      <c r="G151" s="1"/>
    </row>
    <row r="152">
      <c r="C152" s="1"/>
      <c r="D152" s="1"/>
      <c r="E152" s="1"/>
      <c r="F152" s="1"/>
      <c r="G152" s="1"/>
    </row>
    <row r="153">
      <c r="C153" s="1"/>
      <c r="D153" s="1"/>
      <c r="E153" s="1"/>
      <c r="F153" s="1"/>
      <c r="G153" s="1"/>
    </row>
    <row r="154">
      <c r="C154" s="1"/>
      <c r="D154" s="1"/>
      <c r="E154" s="1"/>
      <c r="F154" s="1"/>
      <c r="G154" s="1"/>
    </row>
    <row r="155">
      <c r="C155" s="1"/>
      <c r="D155" s="1"/>
      <c r="E155" s="1"/>
      <c r="F155" s="1"/>
      <c r="G155" s="1"/>
    </row>
    <row r="156">
      <c r="C156" s="1"/>
      <c r="D156" s="1"/>
      <c r="E156" s="1"/>
      <c r="F156" s="1"/>
      <c r="G156" s="1"/>
    </row>
    <row r="157">
      <c r="C157" s="1"/>
      <c r="D157" s="1"/>
      <c r="E157" s="1"/>
      <c r="F157" s="1"/>
      <c r="G157" s="1"/>
    </row>
    <row r="158">
      <c r="C158" s="1"/>
      <c r="D158" s="1"/>
      <c r="E158" s="1"/>
      <c r="F158" s="1"/>
      <c r="G158" s="1"/>
    </row>
    <row r="159">
      <c r="C159" s="1"/>
      <c r="D159" s="1"/>
      <c r="E159" s="1"/>
      <c r="F159" s="1"/>
      <c r="G159" s="1"/>
    </row>
    <row r="160">
      <c r="C160" s="1"/>
      <c r="D160" s="1"/>
      <c r="E160" s="1"/>
      <c r="F160" s="1"/>
      <c r="G160" s="1"/>
    </row>
    <row r="161">
      <c r="C161" s="1"/>
      <c r="D161" s="1"/>
      <c r="E161" s="1"/>
      <c r="F161" s="1"/>
      <c r="G161" s="1"/>
    </row>
    <row r="162">
      <c r="C162" s="1"/>
      <c r="D162" s="1"/>
      <c r="E162" s="1"/>
      <c r="F162" s="1"/>
      <c r="G162" s="1"/>
    </row>
    <row r="163">
      <c r="C163" s="1"/>
      <c r="D163" s="1"/>
      <c r="E163" s="1"/>
      <c r="F163" s="1"/>
      <c r="G163" s="1"/>
    </row>
    <row r="164">
      <c r="C164" s="1"/>
      <c r="D164" s="1"/>
      <c r="E164" s="1"/>
      <c r="F164" s="1"/>
      <c r="G164" s="1"/>
    </row>
    <row r="165">
      <c r="C165" s="1"/>
      <c r="D165" s="1"/>
      <c r="E165" s="1"/>
      <c r="F165" s="1"/>
      <c r="G165" s="1"/>
    </row>
    <row r="166">
      <c r="C166" s="1"/>
      <c r="D166" s="1"/>
      <c r="E166" s="1"/>
      <c r="F166" s="1"/>
      <c r="G166" s="1"/>
    </row>
    <row r="167">
      <c r="C167" s="1"/>
      <c r="D167" s="1"/>
      <c r="E167" s="1"/>
      <c r="F167" s="1"/>
      <c r="G167" s="1"/>
    </row>
    <row r="168">
      <c r="C168" s="1"/>
      <c r="D168" s="1"/>
      <c r="E168" s="1"/>
      <c r="F168" s="1"/>
      <c r="G168" s="1"/>
    </row>
    <row r="169">
      <c r="C169" s="1"/>
      <c r="D169" s="1"/>
      <c r="E169" s="1"/>
      <c r="F169" s="1"/>
      <c r="G169" s="1"/>
    </row>
    <row r="170">
      <c r="C170" s="1"/>
      <c r="D170" s="1"/>
      <c r="E170" s="1"/>
      <c r="F170" s="1"/>
      <c r="G170" s="1"/>
    </row>
    <row r="171">
      <c r="C171" s="1"/>
      <c r="D171" s="1"/>
      <c r="E171" s="1"/>
      <c r="F171" s="1"/>
      <c r="G171" s="1"/>
    </row>
    <row r="172">
      <c r="C172" s="1"/>
      <c r="D172" s="1"/>
      <c r="E172" s="1"/>
      <c r="F172" s="1"/>
      <c r="G172" s="1"/>
    </row>
    <row r="173">
      <c r="C173" s="1"/>
      <c r="D173" s="1"/>
      <c r="E173" s="1"/>
      <c r="F173" s="1"/>
      <c r="G173" s="1"/>
    </row>
    <row r="174">
      <c r="C174" s="1"/>
      <c r="D174" s="1"/>
      <c r="E174" s="1"/>
      <c r="F174" s="1"/>
      <c r="G174" s="1"/>
    </row>
    <row r="175">
      <c r="C175" s="1"/>
      <c r="D175" s="1"/>
      <c r="E175" s="1"/>
      <c r="F175" s="1"/>
      <c r="G175" s="1"/>
    </row>
    <row r="176">
      <c r="C176" s="1"/>
      <c r="D176" s="1"/>
      <c r="E176" s="1"/>
      <c r="F176" s="1"/>
      <c r="G176" s="1"/>
    </row>
    <row r="177">
      <c r="C177" s="1"/>
      <c r="D177" s="1"/>
      <c r="E177" s="1"/>
      <c r="F177" s="1"/>
      <c r="G177" s="1"/>
    </row>
    <row r="178">
      <c r="C178" s="1"/>
      <c r="D178" s="1"/>
      <c r="E178" s="1"/>
      <c r="F178" s="1"/>
      <c r="G178" s="1"/>
    </row>
    <row r="179">
      <c r="C179" s="1"/>
      <c r="D179" s="1"/>
      <c r="E179" s="1"/>
      <c r="F179" s="1"/>
      <c r="G179" s="1"/>
    </row>
    <row r="180">
      <c r="C180" s="1"/>
      <c r="D180" s="1"/>
      <c r="E180" s="1"/>
      <c r="F180" s="1"/>
      <c r="G180" s="1"/>
    </row>
    <row r="181">
      <c r="C181" s="1"/>
      <c r="D181" s="1"/>
      <c r="E181" s="1"/>
      <c r="F181" s="1"/>
      <c r="G181" s="1"/>
    </row>
    <row r="182">
      <c r="C182" s="1"/>
      <c r="D182" s="1"/>
      <c r="E182" s="1"/>
      <c r="F182" s="1"/>
      <c r="G182" s="1"/>
    </row>
    <row r="183">
      <c r="C183" s="1"/>
      <c r="D183" s="1"/>
      <c r="E183" s="1"/>
      <c r="F183" s="1"/>
      <c r="G183" s="1"/>
    </row>
    <row r="184">
      <c r="C184" s="1"/>
      <c r="D184" s="1"/>
      <c r="E184" s="1"/>
      <c r="F184" s="1"/>
      <c r="G184" s="1"/>
    </row>
    <row r="185">
      <c r="C185" s="1"/>
      <c r="D185" s="1"/>
      <c r="E185" s="1"/>
      <c r="F185" s="1"/>
      <c r="G185" s="1"/>
    </row>
    <row r="186">
      <c r="C186" s="1"/>
      <c r="D186" s="1"/>
      <c r="E186" s="1"/>
      <c r="F186" s="1"/>
      <c r="G186" s="1"/>
    </row>
    <row r="187">
      <c r="C187" s="1"/>
      <c r="D187" s="1"/>
      <c r="E187" s="1"/>
      <c r="F187" s="1"/>
      <c r="G187" s="1"/>
    </row>
    <row r="188">
      <c r="C188" s="1"/>
      <c r="D188" s="1"/>
      <c r="E188" s="1"/>
      <c r="F188" s="1"/>
      <c r="G188" s="1"/>
    </row>
    <row r="189">
      <c r="C189" s="1"/>
      <c r="D189" s="1"/>
      <c r="E189" s="1"/>
      <c r="F189" s="1"/>
      <c r="G189" s="1"/>
    </row>
    <row r="190">
      <c r="C190" s="1"/>
      <c r="D190" s="1"/>
      <c r="E190" s="1"/>
      <c r="F190" s="1"/>
      <c r="G190" s="1"/>
    </row>
    <row r="191">
      <c r="C191" s="1"/>
      <c r="D191" s="1"/>
      <c r="E191" s="1"/>
      <c r="F191" s="1"/>
      <c r="G191" s="1"/>
    </row>
    <row r="192">
      <c r="C192" s="1"/>
      <c r="D192" s="1"/>
      <c r="E192" s="1"/>
      <c r="F192" s="1"/>
      <c r="G192" s="1"/>
    </row>
    <row r="193">
      <c r="C193" s="1"/>
      <c r="D193" s="1"/>
      <c r="E193" s="1"/>
      <c r="F193" s="1"/>
      <c r="G193" s="1"/>
    </row>
    <row r="194">
      <c r="C194" s="1"/>
      <c r="D194" s="1"/>
      <c r="E194" s="1"/>
      <c r="F194" s="1"/>
      <c r="G194" s="1"/>
    </row>
    <row r="195">
      <c r="C195" s="1"/>
      <c r="D195" s="1"/>
      <c r="E195" s="1"/>
      <c r="F195" s="1"/>
      <c r="G195" s="1"/>
    </row>
    <row r="196">
      <c r="C196" s="1"/>
      <c r="D196" s="1"/>
      <c r="E196" s="1"/>
      <c r="F196" s="1"/>
      <c r="G196" s="1"/>
    </row>
    <row r="197">
      <c r="C197" s="1"/>
      <c r="D197" s="1"/>
      <c r="E197" s="1"/>
      <c r="F197" s="1"/>
      <c r="G197" s="1"/>
    </row>
    <row r="198">
      <c r="C198" s="1"/>
      <c r="D198" s="1"/>
      <c r="E198" s="1"/>
      <c r="F198" s="1"/>
      <c r="G198" s="1"/>
    </row>
    <row r="199">
      <c r="C199" s="1"/>
      <c r="D199" s="1"/>
      <c r="E199" s="1"/>
      <c r="F199" s="1"/>
      <c r="G199" s="1"/>
    </row>
    <row r="200">
      <c r="C200" s="1"/>
      <c r="D200" s="1"/>
      <c r="E200" s="1"/>
      <c r="F200" s="1"/>
      <c r="G200" s="1"/>
    </row>
    <row r="201">
      <c r="C201" s="1"/>
      <c r="D201" s="1"/>
      <c r="E201" s="1"/>
      <c r="F201" s="1"/>
      <c r="G201" s="1"/>
    </row>
    <row r="202">
      <c r="C202" s="1"/>
      <c r="D202" s="1"/>
      <c r="E202" s="1"/>
      <c r="F202" s="1"/>
      <c r="G202" s="1"/>
    </row>
    <row r="203">
      <c r="C203" s="1"/>
      <c r="D203" s="1"/>
      <c r="E203" s="1"/>
      <c r="F203" s="1"/>
      <c r="G203" s="1"/>
    </row>
    <row r="204">
      <c r="C204" s="1"/>
      <c r="D204" s="1"/>
      <c r="E204" s="1"/>
      <c r="F204" s="1"/>
      <c r="G204" s="1"/>
    </row>
    <row r="205">
      <c r="C205" s="1"/>
      <c r="D205" s="1"/>
      <c r="E205" s="1"/>
      <c r="F205" s="1"/>
      <c r="G205" s="1"/>
    </row>
    <row r="206">
      <c r="C206" s="1"/>
      <c r="D206" s="1"/>
      <c r="E206" s="1"/>
      <c r="F206" s="1"/>
      <c r="G206" s="1"/>
    </row>
    <row r="207">
      <c r="C207" s="1"/>
      <c r="D207" s="1"/>
      <c r="E207" s="1"/>
      <c r="F207" s="1"/>
      <c r="G207" s="1"/>
    </row>
    <row r="208">
      <c r="C208" s="1"/>
      <c r="D208" s="1"/>
      <c r="E208" s="1"/>
      <c r="F208" s="1"/>
      <c r="G208" s="1"/>
    </row>
    <row r="209">
      <c r="C209" s="1"/>
      <c r="D209" s="1"/>
      <c r="E209" s="1"/>
      <c r="F209" s="1"/>
      <c r="G209" s="1"/>
    </row>
    <row r="210">
      <c r="C210" s="1"/>
      <c r="D210" s="1"/>
      <c r="E210" s="1"/>
      <c r="F210" s="1"/>
      <c r="G210" s="1"/>
    </row>
    <row r="211">
      <c r="C211" s="1"/>
      <c r="D211" s="1"/>
      <c r="E211" s="1"/>
      <c r="F211" s="1"/>
      <c r="G211" s="1"/>
    </row>
    <row r="212">
      <c r="C212" s="1"/>
      <c r="D212" s="1"/>
      <c r="E212" s="1"/>
      <c r="F212" s="1"/>
      <c r="G212" s="1"/>
    </row>
    <row r="213">
      <c r="C213" s="1"/>
      <c r="D213" s="1"/>
      <c r="E213" s="1"/>
      <c r="F213" s="1"/>
      <c r="G213" s="1"/>
    </row>
    <row r="214">
      <c r="C214" s="1"/>
      <c r="D214" s="1"/>
      <c r="E214" s="1"/>
      <c r="F214" s="1"/>
      <c r="G214" s="1"/>
    </row>
    <row r="215">
      <c r="C215" s="1"/>
      <c r="D215" s="1"/>
      <c r="E215" s="1"/>
      <c r="F215" s="1"/>
      <c r="G215" s="1"/>
    </row>
    <row r="216">
      <c r="C216" s="1"/>
      <c r="D216" s="1"/>
      <c r="E216" s="1"/>
      <c r="F216" s="1"/>
      <c r="G216" s="1"/>
    </row>
    <row r="217">
      <c r="C217" s="1"/>
      <c r="D217" s="1"/>
      <c r="E217" s="1"/>
      <c r="F217" s="1"/>
      <c r="G217" s="1"/>
    </row>
    <row r="218">
      <c r="C218" s="1"/>
      <c r="D218" s="1"/>
      <c r="E218" s="1"/>
      <c r="F218" s="1"/>
      <c r="G218" s="1"/>
    </row>
    <row r="219">
      <c r="C219" s="1"/>
      <c r="D219" s="1"/>
      <c r="E219" s="1"/>
      <c r="F219" s="1"/>
      <c r="G219" s="1"/>
    </row>
    <row r="220">
      <c r="C220" s="1"/>
      <c r="D220" s="1"/>
      <c r="E220" s="1"/>
      <c r="F220" s="1"/>
      <c r="G220" s="1"/>
    </row>
    <row r="221">
      <c r="C221" s="1"/>
      <c r="D221" s="1"/>
      <c r="E221" s="1"/>
      <c r="F221" s="1"/>
      <c r="G221" s="1"/>
    </row>
    <row r="222">
      <c r="C222" s="1"/>
      <c r="D222" s="1"/>
      <c r="E222" s="1"/>
      <c r="F222" s="1"/>
      <c r="G222" s="1"/>
    </row>
    <row r="223">
      <c r="C223" s="1"/>
      <c r="D223" s="1"/>
      <c r="E223" s="1"/>
      <c r="F223" s="1"/>
      <c r="G223" s="1"/>
    </row>
    <row r="224">
      <c r="C224" s="1"/>
      <c r="D224" s="1"/>
      <c r="E224" s="1"/>
      <c r="F224" s="1"/>
      <c r="G224" s="1"/>
    </row>
    <row r="225">
      <c r="C225" s="1"/>
      <c r="D225" s="1"/>
      <c r="E225" s="1"/>
      <c r="F225" s="1"/>
      <c r="G225" s="1"/>
    </row>
    <row r="226">
      <c r="C226" s="1"/>
      <c r="D226" s="1"/>
      <c r="E226" s="1"/>
      <c r="F226" s="1"/>
      <c r="G226" s="1"/>
    </row>
    <row r="227">
      <c r="C227" s="1"/>
      <c r="D227" s="1"/>
      <c r="E227" s="1"/>
      <c r="F227" s="1"/>
      <c r="G227" s="1"/>
    </row>
    <row r="228">
      <c r="C228" s="1"/>
      <c r="D228" s="1"/>
      <c r="E228" s="1"/>
      <c r="F228" s="1"/>
      <c r="G228" s="1"/>
    </row>
    <row r="229">
      <c r="C229" s="1"/>
      <c r="D229" s="1"/>
      <c r="E229" s="1"/>
      <c r="F229" s="1"/>
      <c r="G229" s="1"/>
    </row>
    <row r="230">
      <c r="C230" s="1"/>
      <c r="D230" s="1"/>
      <c r="E230" s="1"/>
      <c r="F230" s="1"/>
      <c r="G230" s="1"/>
    </row>
    <row r="231">
      <c r="C231" s="1"/>
      <c r="D231" s="1"/>
      <c r="E231" s="1"/>
      <c r="F231" s="1"/>
      <c r="G231" s="1"/>
    </row>
    <row r="232">
      <c r="C232" s="1"/>
      <c r="D232" s="1"/>
      <c r="E232" s="1"/>
      <c r="F232" s="1"/>
      <c r="G232" s="1"/>
    </row>
    <row r="233">
      <c r="C233" s="1"/>
      <c r="D233" s="1"/>
      <c r="E233" s="1"/>
      <c r="F233" s="1"/>
      <c r="G233" s="1"/>
    </row>
    <row r="234">
      <c r="C234" s="1"/>
      <c r="D234" s="1"/>
      <c r="E234" s="1"/>
      <c r="F234" s="1"/>
      <c r="G234" s="1"/>
    </row>
    <row r="235">
      <c r="C235" s="1"/>
      <c r="D235" s="1"/>
      <c r="E235" s="1"/>
      <c r="F235" s="1"/>
      <c r="G235" s="1"/>
    </row>
    <row r="236">
      <c r="C236" s="1"/>
      <c r="D236" s="1"/>
      <c r="E236" s="1"/>
      <c r="F236" s="1"/>
      <c r="G236" s="1"/>
    </row>
    <row r="237">
      <c r="C237" s="1"/>
      <c r="D237" s="1"/>
      <c r="E237" s="1"/>
      <c r="F237" s="1"/>
      <c r="G237" s="1"/>
    </row>
    <row r="238">
      <c r="C238" s="1"/>
      <c r="D238" s="1"/>
      <c r="E238" s="1"/>
      <c r="F238" s="1"/>
      <c r="G238" s="1"/>
    </row>
    <row r="239">
      <c r="C239" s="1"/>
      <c r="D239" s="1"/>
      <c r="E239" s="1"/>
      <c r="F239" s="1"/>
      <c r="G239" s="1"/>
    </row>
    <row r="240">
      <c r="C240" s="1"/>
      <c r="D240" s="1"/>
      <c r="E240" s="1"/>
      <c r="F240" s="1"/>
      <c r="G240" s="1"/>
    </row>
    <row r="241">
      <c r="C241" s="1"/>
      <c r="D241" s="1"/>
      <c r="E241" s="1"/>
      <c r="F241" s="1"/>
      <c r="G241" s="1"/>
    </row>
    <row r="242">
      <c r="C242" s="1"/>
      <c r="D242" s="1"/>
      <c r="E242" s="1"/>
      <c r="F242" s="1"/>
      <c r="G242" s="1"/>
    </row>
    <row r="243">
      <c r="C243" s="1"/>
      <c r="D243" s="1"/>
      <c r="E243" s="1"/>
      <c r="F243" s="1"/>
      <c r="G243" s="1"/>
    </row>
    <row r="244">
      <c r="C244" s="1"/>
      <c r="D244" s="1"/>
      <c r="E244" s="1"/>
      <c r="F244" s="1"/>
      <c r="G244" s="1"/>
    </row>
    <row r="245">
      <c r="C245" s="1"/>
      <c r="D245" s="1"/>
      <c r="E245" s="1"/>
      <c r="F245" s="1"/>
      <c r="G245" s="1"/>
    </row>
    <row r="246">
      <c r="C246" s="1"/>
      <c r="D246" s="1"/>
      <c r="E246" s="1"/>
      <c r="F246" s="1"/>
      <c r="G246" s="1"/>
    </row>
    <row r="247">
      <c r="C247" s="1"/>
      <c r="D247" s="1"/>
      <c r="E247" s="1"/>
      <c r="F247" s="1"/>
      <c r="G247" s="1"/>
    </row>
    <row r="248">
      <c r="C248" s="1"/>
      <c r="D248" s="1"/>
      <c r="E248" s="1"/>
      <c r="F248" s="1"/>
      <c r="G248" s="1"/>
    </row>
    <row r="249">
      <c r="C249" s="1"/>
      <c r="D249" s="1"/>
      <c r="E249" s="1"/>
      <c r="F249" s="1"/>
      <c r="G249" s="1"/>
    </row>
    <row r="250">
      <c r="C250" s="1"/>
      <c r="D250" s="1"/>
      <c r="E250" s="1"/>
      <c r="F250" s="1"/>
      <c r="G250" s="1"/>
    </row>
    <row r="251">
      <c r="C251" s="1"/>
      <c r="D251" s="1"/>
      <c r="E251" s="1"/>
      <c r="F251" s="1"/>
      <c r="G251" s="1"/>
    </row>
    <row r="252">
      <c r="C252" s="1"/>
      <c r="D252" s="1"/>
      <c r="E252" s="1"/>
      <c r="F252" s="1"/>
      <c r="G252" s="1"/>
    </row>
    <row r="253">
      <c r="C253" s="1"/>
      <c r="D253" s="1"/>
      <c r="E253" s="1"/>
      <c r="F253" s="1"/>
      <c r="G253" s="1"/>
    </row>
    <row r="254">
      <c r="C254" s="1"/>
      <c r="D254" s="1"/>
      <c r="E254" s="1"/>
      <c r="F254" s="1"/>
      <c r="G254" s="1"/>
    </row>
    <row r="255">
      <c r="C255" s="1"/>
      <c r="D255" s="1"/>
      <c r="E255" s="1"/>
      <c r="F255" s="1"/>
      <c r="G255" s="1"/>
    </row>
    <row r="256">
      <c r="C256" s="1"/>
      <c r="D256" s="1"/>
      <c r="E256" s="1"/>
      <c r="F256" s="1"/>
      <c r="G256" s="1"/>
    </row>
    <row r="257">
      <c r="C257" s="1"/>
      <c r="D257" s="1"/>
      <c r="E257" s="1"/>
      <c r="F257" s="1"/>
      <c r="G257" s="1"/>
    </row>
    <row r="258">
      <c r="C258" s="1"/>
      <c r="D258" s="1"/>
      <c r="E258" s="1"/>
      <c r="F258" s="1"/>
      <c r="G258" s="1"/>
    </row>
    <row r="259">
      <c r="C259" s="1"/>
      <c r="D259" s="1"/>
      <c r="E259" s="1"/>
      <c r="F259" s="1"/>
      <c r="G259" s="1"/>
    </row>
    <row r="260">
      <c r="C260" s="1"/>
      <c r="D260" s="1"/>
      <c r="E260" s="1"/>
      <c r="F260" s="1"/>
      <c r="G260" s="1"/>
    </row>
    <row r="261">
      <c r="C261" s="1"/>
      <c r="D261" s="1"/>
      <c r="E261" s="1"/>
      <c r="F261" s="1"/>
      <c r="G261" s="1"/>
    </row>
    <row r="262">
      <c r="C262" s="1"/>
      <c r="D262" s="1"/>
      <c r="E262" s="1"/>
      <c r="F262" s="1"/>
      <c r="G262" s="1"/>
    </row>
    <row r="263">
      <c r="C263" s="1"/>
      <c r="D263" s="1"/>
      <c r="E263" s="1"/>
      <c r="F263" s="1"/>
      <c r="G263" s="1"/>
    </row>
    <row r="264">
      <c r="C264" s="1"/>
      <c r="D264" s="1"/>
      <c r="E264" s="1"/>
      <c r="F264" s="1"/>
      <c r="G264" s="1"/>
    </row>
    <row r="265">
      <c r="C265" s="1"/>
      <c r="D265" s="1"/>
      <c r="E265" s="1"/>
      <c r="F265" s="1"/>
      <c r="G265" s="1"/>
    </row>
    <row r="266">
      <c r="C266" s="1"/>
      <c r="D266" s="1"/>
      <c r="E266" s="1"/>
      <c r="F266" s="1"/>
      <c r="G266" s="1"/>
    </row>
    <row r="267">
      <c r="C267" s="1"/>
      <c r="D267" s="1"/>
      <c r="E267" s="1"/>
      <c r="F267" s="1"/>
      <c r="G267" s="1"/>
    </row>
    <row r="268">
      <c r="C268" s="1"/>
      <c r="D268" s="1"/>
      <c r="E268" s="1"/>
      <c r="F268" s="1"/>
      <c r="G268" s="1"/>
    </row>
    <row r="269">
      <c r="C269" s="1"/>
      <c r="D269" s="1"/>
      <c r="E269" s="1"/>
      <c r="F269" s="1"/>
      <c r="G269" s="1"/>
    </row>
    <row r="270">
      <c r="C270" s="1"/>
      <c r="D270" s="1"/>
      <c r="E270" s="1"/>
      <c r="F270" s="1"/>
      <c r="G270" s="1"/>
    </row>
    <row r="271">
      <c r="C271" s="1"/>
      <c r="D271" s="1"/>
      <c r="E271" s="1"/>
      <c r="F271" s="1"/>
      <c r="G271" s="1"/>
    </row>
    <row r="272">
      <c r="C272" s="1"/>
      <c r="D272" s="1"/>
      <c r="E272" s="1"/>
      <c r="F272" s="1"/>
      <c r="G272" s="1"/>
    </row>
    <row r="273">
      <c r="C273" s="1"/>
      <c r="D273" s="1"/>
      <c r="E273" s="1"/>
      <c r="F273" s="1"/>
      <c r="G273" s="1"/>
    </row>
    <row r="274">
      <c r="C274" s="1"/>
      <c r="D274" s="1"/>
      <c r="E274" s="1"/>
      <c r="F274" s="1"/>
      <c r="G274" s="1"/>
    </row>
    <row r="275">
      <c r="C275" s="1"/>
      <c r="D275" s="1"/>
      <c r="E275" s="1"/>
      <c r="F275" s="1"/>
      <c r="G275" s="1"/>
    </row>
    <row r="276">
      <c r="C276" s="1"/>
      <c r="D276" s="1"/>
      <c r="E276" s="1"/>
      <c r="F276" s="1"/>
      <c r="G276" s="1"/>
    </row>
    <row r="277">
      <c r="C277" s="1"/>
      <c r="D277" s="1"/>
      <c r="E277" s="1"/>
      <c r="F277" s="1"/>
      <c r="G277" s="1"/>
    </row>
    <row r="278">
      <c r="C278" s="1"/>
      <c r="D278" s="1"/>
      <c r="E278" s="1"/>
      <c r="F278" s="1"/>
      <c r="G278" s="1"/>
    </row>
    <row r="279">
      <c r="C279" s="1"/>
      <c r="D279" s="1"/>
      <c r="E279" s="1"/>
      <c r="F279" s="1"/>
      <c r="G279" s="1"/>
    </row>
    <row r="280">
      <c r="C280" s="1"/>
      <c r="D280" s="1"/>
      <c r="E280" s="1"/>
      <c r="F280" s="1"/>
      <c r="G280" s="1"/>
    </row>
    <row r="281">
      <c r="C281" s="1"/>
      <c r="D281" s="1"/>
      <c r="E281" s="1"/>
      <c r="F281" s="1"/>
      <c r="G281" s="1"/>
    </row>
    <row r="282">
      <c r="C282" s="1"/>
      <c r="D282" s="1"/>
      <c r="E282" s="1"/>
      <c r="F282" s="1"/>
      <c r="G282" s="1"/>
    </row>
    <row r="283">
      <c r="C283" s="1"/>
      <c r="D283" s="1"/>
      <c r="E283" s="1"/>
      <c r="F283" s="1"/>
      <c r="G283" s="1"/>
    </row>
    <row r="284">
      <c r="C284" s="1"/>
      <c r="D284" s="1"/>
      <c r="E284" s="1"/>
      <c r="F284" s="1"/>
      <c r="G284" s="1"/>
    </row>
    <row r="285">
      <c r="C285" s="1"/>
      <c r="D285" s="1"/>
      <c r="E285" s="1"/>
      <c r="F285" s="1"/>
      <c r="G285" s="1"/>
    </row>
    <row r="286">
      <c r="C286" s="1"/>
      <c r="D286" s="1"/>
      <c r="E286" s="1"/>
      <c r="F286" s="1"/>
      <c r="G286" s="1"/>
    </row>
    <row r="287">
      <c r="C287" s="1"/>
      <c r="D287" s="1"/>
      <c r="E287" s="1"/>
      <c r="F287" s="1"/>
      <c r="G287" s="1"/>
    </row>
    <row r="288">
      <c r="C288" s="1"/>
      <c r="D288" s="1"/>
      <c r="E288" s="1"/>
      <c r="F288" s="1"/>
      <c r="G288" s="1"/>
    </row>
    <row r="289">
      <c r="C289" s="1"/>
      <c r="D289" s="1"/>
      <c r="E289" s="1"/>
      <c r="F289" s="1"/>
      <c r="G289" s="1"/>
    </row>
    <row r="290">
      <c r="C290" s="1"/>
      <c r="D290" s="1"/>
      <c r="E290" s="1"/>
      <c r="F290" s="1"/>
      <c r="G290" s="1"/>
    </row>
    <row r="291">
      <c r="C291" s="1"/>
      <c r="D291" s="1"/>
      <c r="E291" s="1"/>
      <c r="F291" s="1"/>
      <c r="G291" s="1"/>
    </row>
    <row r="292">
      <c r="C292" s="1"/>
      <c r="D292" s="1"/>
      <c r="E292" s="1"/>
      <c r="F292" s="1"/>
      <c r="G292" s="1"/>
    </row>
    <row r="293">
      <c r="C293" s="1"/>
      <c r="D293" s="1"/>
      <c r="E293" s="1"/>
      <c r="F293" s="1"/>
      <c r="G293" s="1"/>
    </row>
    <row r="294">
      <c r="C294" s="1"/>
      <c r="D294" s="1"/>
      <c r="E294" s="1"/>
      <c r="F294" s="1"/>
      <c r="G294" s="1"/>
    </row>
    <row r="295">
      <c r="C295" s="1"/>
      <c r="D295" s="1"/>
      <c r="E295" s="1"/>
      <c r="F295" s="1"/>
      <c r="G295" s="1"/>
    </row>
    <row r="296">
      <c r="C296" s="1"/>
      <c r="D296" s="1"/>
      <c r="E296" s="1"/>
      <c r="F296" s="1"/>
      <c r="G296" s="1"/>
    </row>
    <row r="297">
      <c r="C297" s="1"/>
      <c r="D297" s="1"/>
      <c r="E297" s="1"/>
      <c r="F297" s="1"/>
      <c r="G297" s="1"/>
    </row>
    <row r="298">
      <c r="C298" s="1"/>
      <c r="D298" s="1"/>
      <c r="E298" s="1"/>
      <c r="F298" s="1"/>
      <c r="G298" s="1"/>
    </row>
    <row r="299">
      <c r="C299" s="1"/>
      <c r="D299" s="1"/>
      <c r="E299" s="1"/>
      <c r="F299" s="1"/>
      <c r="G299" s="1"/>
    </row>
    <row r="300">
      <c r="C300" s="1"/>
      <c r="D300" s="1"/>
      <c r="E300" s="1"/>
      <c r="F300" s="1"/>
      <c r="G300" s="1"/>
    </row>
    <row r="301">
      <c r="C301" s="1"/>
      <c r="D301" s="1"/>
      <c r="E301" s="1"/>
      <c r="F301" s="1"/>
      <c r="G301" s="1"/>
    </row>
    <row r="302">
      <c r="C302" s="1"/>
      <c r="D302" s="1"/>
      <c r="E302" s="1"/>
      <c r="F302" s="1"/>
      <c r="G302" s="1"/>
    </row>
    <row r="303">
      <c r="C303" s="1"/>
      <c r="D303" s="1"/>
      <c r="E303" s="1"/>
      <c r="F303" s="1"/>
      <c r="G303" s="1"/>
    </row>
    <row r="304">
      <c r="C304" s="1"/>
      <c r="D304" s="1"/>
      <c r="E304" s="1"/>
      <c r="F304" s="1"/>
      <c r="G304" s="1"/>
    </row>
    <row r="305">
      <c r="C305" s="1"/>
      <c r="D305" s="1"/>
      <c r="E305" s="1"/>
      <c r="F305" s="1"/>
      <c r="G305" s="1"/>
    </row>
    <row r="306">
      <c r="C306" s="1"/>
      <c r="D306" s="1"/>
      <c r="E306" s="1"/>
      <c r="F306" s="1"/>
      <c r="G306" s="1"/>
    </row>
    <row r="307">
      <c r="C307" s="1"/>
      <c r="D307" s="1"/>
      <c r="E307" s="1"/>
      <c r="F307" s="1"/>
      <c r="G307" s="1"/>
    </row>
    <row r="308">
      <c r="C308" s="1"/>
      <c r="D308" s="1"/>
      <c r="E308" s="1"/>
      <c r="F308" s="1"/>
      <c r="G308" s="1"/>
    </row>
    <row r="309">
      <c r="C309" s="1"/>
      <c r="D309" s="1"/>
      <c r="E309" s="1"/>
      <c r="F309" s="1"/>
      <c r="G309" s="1"/>
    </row>
    <row r="310">
      <c r="C310" s="1"/>
      <c r="D310" s="1"/>
      <c r="E310" s="1"/>
      <c r="F310" s="1"/>
      <c r="G310" s="1"/>
    </row>
    <row r="311">
      <c r="C311" s="1"/>
      <c r="D311" s="1"/>
      <c r="E311" s="1"/>
      <c r="F311" s="1"/>
      <c r="G311" s="1"/>
    </row>
    <row r="312">
      <c r="C312" s="1"/>
      <c r="D312" s="1"/>
      <c r="E312" s="1"/>
      <c r="F312" s="1"/>
      <c r="G312" s="1"/>
    </row>
    <row r="313">
      <c r="C313" s="1"/>
      <c r="D313" s="1"/>
      <c r="E313" s="1"/>
      <c r="F313" s="1"/>
      <c r="G313" s="1"/>
    </row>
    <row r="314">
      <c r="C314" s="1"/>
      <c r="D314" s="1"/>
      <c r="E314" s="1"/>
      <c r="F314" s="1"/>
      <c r="G314" s="1"/>
    </row>
    <row r="315">
      <c r="C315" s="1"/>
      <c r="D315" s="1"/>
      <c r="E315" s="1"/>
      <c r="F315" s="1"/>
      <c r="G315" s="1"/>
    </row>
    <row r="316">
      <c r="C316" s="1"/>
      <c r="D316" s="1"/>
      <c r="E316" s="1"/>
      <c r="F316" s="1"/>
      <c r="G316" s="1"/>
    </row>
    <row r="317">
      <c r="C317" s="1"/>
      <c r="D317" s="1"/>
      <c r="E317" s="1"/>
      <c r="F317" s="1"/>
      <c r="G317" s="1"/>
    </row>
    <row r="318">
      <c r="C318" s="1"/>
      <c r="D318" s="1"/>
      <c r="E318" s="1"/>
      <c r="F318" s="1"/>
      <c r="G318" s="1"/>
    </row>
    <row r="319">
      <c r="C319" s="1"/>
      <c r="D319" s="1"/>
      <c r="E319" s="1"/>
      <c r="F319" s="1"/>
      <c r="G319" s="1"/>
    </row>
    <row r="320">
      <c r="C320" s="1"/>
      <c r="D320" s="1"/>
      <c r="E320" s="1"/>
      <c r="F320" s="1"/>
      <c r="G320" s="1"/>
    </row>
    <row r="321">
      <c r="C321" s="1"/>
      <c r="D321" s="1"/>
      <c r="E321" s="1"/>
      <c r="F321" s="1"/>
      <c r="G321" s="1"/>
    </row>
    <row r="322">
      <c r="C322" s="1"/>
      <c r="D322" s="1"/>
      <c r="E322" s="1"/>
      <c r="F322" s="1"/>
      <c r="G322" s="1"/>
    </row>
    <row r="323">
      <c r="C323" s="1"/>
      <c r="D323" s="1"/>
      <c r="E323" s="1"/>
      <c r="F323" s="1"/>
      <c r="G323" s="1"/>
    </row>
    <row r="324">
      <c r="C324" s="1"/>
      <c r="D324" s="1"/>
      <c r="E324" s="1"/>
      <c r="F324" s="1"/>
      <c r="G324" s="1"/>
    </row>
    <row r="325">
      <c r="C325" s="1"/>
      <c r="D325" s="1"/>
      <c r="E325" s="1"/>
      <c r="F325" s="1"/>
      <c r="G325" s="1"/>
    </row>
    <row r="326">
      <c r="C326" s="1"/>
      <c r="D326" s="1"/>
      <c r="E326" s="1"/>
      <c r="F326" s="1"/>
      <c r="G326" s="1"/>
    </row>
    <row r="327">
      <c r="C327" s="1"/>
      <c r="D327" s="1"/>
      <c r="E327" s="1"/>
      <c r="F327" s="1"/>
      <c r="G327" s="1"/>
    </row>
    <row r="328">
      <c r="C328" s="1"/>
      <c r="D328" s="1"/>
      <c r="E328" s="1"/>
      <c r="F328" s="1"/>
      <c r="G328" s="1"/>
    </row>
    <row r="329">
      <c r="C329" s="1"/>
      <c r="D329" s="1"/>
      <c r="E329" s="1"/>
      <c r="F329" s="1"/>
      <c r="G329" s="1"/>
    </row>
    <row r="330">
      <c r="C330" s="1"/>
      <c r="D330" s="1"/>
      <c r="E330" s="1"/>
      <c r="F330" s="1"/>
      <c r="G330" s="1"/>
    </row>
    <row r="331">
      <c r="C331" s="1"/>
      <c r="D331" s="1"/>
      <c r="E331" s="1"/>
      <c r="F331" s="1"/>
      <c r="G331" s="1"/>
    </row>
    <row r="332">
      <c r="C332" s="1"/>
      <c r="D332" s="1"/>
      <c r="E332" s="1"/>
      <c r="F332" s="1"/>
      <c r="G332" s="1"/>
    </row>
    <row r="333">
      <c r="C333" s="1"/>
      <c r="D333" s="1"/>
      <c r="E333" s="1"/>
      <c r="F333" s="1"/>
      <c r="G333" s="1"/>
    </row>
    <row r="334">
      <c r="C334" s="1"/>
      <c r="D334" s="1"/>
      <c r="E334" s="1"/>
      <c r="F334" s="1"/>
      <c r="G334" s="1"/>
    </row>
    <row r="335">
      <c r="C335" s="1"/>
      <c r="D335" s="1"/>
      <c r="E335" s="1"/>
      <c r="F335" s="1"/>
      <c r="G335" s="1"/>
    </row>
    <row r="336">
      <c r="C336" s="1"/>
      <c r="D336" s="1"/>
      <c r="E336" s="1"/>
      <c r="F336" s="1"/>
      <c r="G336" s="1"/>
    </row>
    <row r="337">
      <c r="C337" s="1"/>
      <c r="D337" s="1"/>
      <c r="E337" s="1"/>
      <c r="F337" s="1"/>
      <c r="G337" s="1"/>
    </row>
    <row r="338">
      <c r="C338" s="1"/>
      <c r="D338" s="1"/>
      <c r="E338" s="1"/>
      <c r="F338" s="1"/>
      <c r="G338" s="1"/>
    </row>
    <row r="339">
      <c r="C339" s="1"/>
      <c r="D339" s="1"/>
      <c r="E339" s="1"/>
      <c r="F339" s="1"/>
      <c r="G339" s="1"/>
    </row>
    <row r="340">
      <c r="C340" s="1"/>
      <c r="D340" s="1"/>
      <c r="E340" s="1"/>
      <c r="F340" s="1"/>
      <c r="G340" s="1"/>
    </row>
    <row r="341">
      <c r="C341" s="1"/>
      <c r="D341" s="1"/>
      <c r="E341" s="1"/>
      <c r="F341" s="1"/>
      <c r="G341" s="1"/>
    </row>
    <row r="342">
      <c r="C342" s="1"/>
      <c r="D342" s="1"/>
      <c r="E342" s="1"/>
      <c r="F342" s="1"/>
      <c r="G342" s="1"/>
    </row>
    <row r="343">
      <c r="C343" s="1"/>
      <c r="D343" s="1"/>
      <c r="E343" s="1"/>
      <c r="F343" s="1"/>
      <c r="G343" s="1"/>
    </row>
    <row r="344">
      <c r="C344" s="1"/>
      <c r="D344" s="1"/>
      <c r="E344" s="1"/>
      <c r="F344" s="1"/>
      <c r="G344" s="1"/>
    </row>
    <row r="345">
      <c r="C345" s="1"/>
      <c r="D345" s="1"/>
      <c r="E345" s="1"/>
      <c r="F345" s="1"/>
      <c r="G345" s="1"/>
    </row>
    <row r="346">
      <c r="C346" s="1"/>
      <c r="D346" s="1"/>
      <c r="E346" s="1"/>
      <c r="F346" s="1"/>
      <c r="G346" s="1"/>
    </row>
    <row r="347">
      <c r="C347" s="1"/>
      <c r="D347" s="1"/>
      <c r="E347" s="1"/>
      <c r="F347" s="1"/>
      <c r="G347" s="1"/>
    </row>
    <row r="348">
      <c r="C348" s="1"/>
      <c r="D348" s="1"/>
      <c r="E348" s="1"/>
      <c r="F348" s="1"/>
      <c r="G348" s="1"/>
    </row>
    <row r="349">
      <c r="C349" s="1"/>
      <c r="D349" s="1"/>
      <c r="E349" s="1"/>
      <c r="F349" s="1"/>
      <c r="G349" s="1"/>
    </row>
    <row r="350">
      <c r="C350" s="1"/>
      <c r="D350" s="1"/>
      <c r="E350" s="1"/>
      <c r="F350" s="1"/>
      <c r="G350" s="1"/>
    </row>
    <row r="351">
      <c r="C351" s="1"/>
      <c r="D351" s="1"/>
      <c r="E351" s="1"/>
      <c r="F351" s="1"/>
      <c r="G351" s="1"/>
    </row>
    <row r="352">
      <c r="C352" s="1"/>
      <c r="D352" s="1"/>
      <c r="E352" s="1"/>
      <c r="F352" s="1"/>
      <c r="G352" s="1"/>
    </row>
    <row r="353">
      <c r="C353" s="1"/>
      <c r="D353" s="1"/>
      <c r="E353" s="1"/>
      <c r="F353" s="1"/>
      <c r="G353" s="1"/>
    </row>
    <row r="354">
      <c r="C354" s="1"/>
      <c r="D354" s="1"/>
      <c r="E354" s="1"/>
      <c r="F354" s="1"/>
      <c r="G354" s="1"/>
    </row>
    <row r="355">
      <c r="C355" s="1"/>
      <c r="D355" s="1"/>
      <c r="E355" s="1"/>
      <c r="F355" s="1"/>
      <c r="G355" s="1"/>
    </row>
    <row r="356">
      <c r="C356" s="1"/>
      <c r="D356" s="1"/>
      <c r="E356" s="1"/>
      <c r="F356" s="1"/>
      <c r="G356" s="1"/>
    </row>
    <row r="357">
      <c r="C357" s="1"/>
      <c r="D357" s="1"/>
      <c r="E357" s="1"/>
      <c r="F357" s="1"/>
      <c r="G357" s="1"/>
    </row>
    <row r="358">
      <c r="C358" s="1"/>
      <c r="D358" s="1"/>
      <c r="E358" s="1"/>
      <c r="F358" s="1"/>
      <c r="G358" s="1"/>
    </row>
    <row r="359">
      <c r="C359" s="1"/>
      <c r="D359" s="1"/>
      <c r="E359" s="1"/>
      <c r="F359" s="1"/>
      <c r="G359" s="1"/>
    </row>
    <row r="360">
      <c r="C360" s="1"/>
      <c r="D360" s="1"/>
      <c r="E360" s="1"/>
      <c r="F360" s="1"/>
      <c r="G360" s="1"/>
    </row>
    <row r="361">
      <c r="C361" s="1"/>
      <c r="D361" s="1"/>
      <c r="E361" s="1"/>
      <c r="F361" s="1"/>
      <c r="G361" s="1"/>
    </row>
    <row r="362">
      <c r="C362" s="1"/>
      <c r="D362" s="1"/>
      <c r="E362" s="1"/>
      <c r="F362" s="1"/>
      <c r="G362" s="1"/>
    </row>
    <row r="363">
      <c r="C363" s="1"/>
      <c r="D363" s="1"/>
      <c r="E363" s="1"/>
      <c r="F363" s="1"/>
      <c r="G363" s="1"/>
    </row>
    <row r="364">
      <c r="C364" s="1"/>
      <c r="D364" s="1"/>
      <c r="E364" s="1"/>
      <c r="F364" s="1"/>
      <c r="G364" s="1"/>
    </row>
    <row r="365">
      <c r="C365" s="1"/>
      <c r="D365" s="1"/>
      <c r="E365" s="1"/>
      <c r="F365" s="1"/>
      <c r="G365" s="1"/>
    </row>
    <row r="366">
      <c r="C366" s="1"/>
      <c r="D366" s="1"/>
      <c r="E366" s="1"/>
      <c r="F366" s="1"/>
      <c r="G366" s="1"/>
    </row>
    <row r="367">
      <c r="C367" s="1"/>
      <c r="D367" s="1"/>
      <c r="E367" s="1"/>
      <c r="F367" s="1"/>
      <c r="G367" s="1"/>
    </row>
    <row r="368">
      <c r="C368" s="1"/>
      <c r="D368" s="1"/>
      <c r="E368" s="1"/>
      <c r="F368" s="1"/>
      <c r="G368" s="1"/>
    </row>
    <row r="369">
      <c r="C369" s="1"/>
      <c r="D369" s="1"/>
      <c r="E369" s="1"/>
      <c r="F369" s="1"/>
      <c r="G369" s="1"/>
    </row>
    <row r="370">
      <c r="C370" s="1"/>
      <c r="D370" s="1"/>
      <c r="E370" s="1"/>
      <c r="F370" s="1"/>
      <c r="G370" s="1"/>
    </row>
    <row r="371">
      <c r="C371" s="1"/>
      <c r="D371" s="1"/>
      <c r="E371" s="1"/>
      <c r="F371" s="1"/>
      <c r="G371" s="1"/>
    </row>
    <row r="372">
      <c r="C372" s="1"/>
      <c r="D372" s="1"/>
      <c r="E372" s="1"/>
      <c r="F372" s="1"/>
      <c r="G372" s="1"/>
    </row>
    <row r="373">
      <c r="C373" s="1"/>
      <c r="D373" s="1"/>
      <c r="E373" s="1"/>
      <c r="F373" s="1"/>
      <c r="G373" s="1"/>
    </row>
    <row r="374">
      <c r="C374" s="1"/>
      <c r="D374" s="1"/>
      <c r="E374" s="1"/>
      <c r="F374" s="1"/>
      <c r="G374" s="1"/>
    </row>
    <row r="375">
      <c r="C375" s="1"/>
      <c r="D375" s="1"/>
      <c r="E375" s="1"/>
      <c r="F375" s="1"/>
      <c r="G375" s="1"/>
    </row>
    <row r="376">
      <c r="C376" s="1"/>
      <c r="D376" s="1"/>
      <c r="E376" s="1"/>
      <c r="F376" s="1"/>
      <c r="G376" s="1"/>
    </row>
    <row r="377">
      <c r="C377" s="1"/>
      <c r="D377" s="1"/>
      <c r="E377" s="1"/>
      <c r="F377" s="1"/>
      <c r="G377" s="1"/>
    </row>
    <row r="378">
      <c r="C378" s="1"/>
      <c r="D378" s="1"/>
      <c r="E378" s="1"/>
      <c r="F378" s="1"/>
      <c r="G378" s="1"/>
    </row>
    <row r="379">
      <c r="C379" s="1"/>
      <c r="D379" s="1"/>
      <c r="E379" s="1"/>
      <c r="F379" s="1"/>
      <c r="G379" s="1"/>
    </row>
    <row r="380">
      <c r="C380" s="1"/>
      <c r="D380" s="1"/>
      <c r="E380" s="1"/>
      <c r="F380" s="1"/>
      <c r="G380" s="1"/>
    </row>
    <row r="381">
      <c r="C381" s="1"/>
      <c r="D381" s="1"/>
      <c r="E381" s="1"/>
      <c r="F381" s="1"/>
      <c r="G381" s="1"/>
    </row>
    <row r="382">
      <c r="C382" s="1"/>
      <c r="D382" s="1"/>
      <c r="E382" s="1"/>
      <c r="F382" s="1"/>
      <c r="G382" s="1"/>
    </row>
    <row r="383">
      <c r="C383" s="1"/>
      <c r="D383" s="1"/>
      <c r="E383" s="1"/>
      <c r="F383" s="1"/>
      <c r="G383" s="1"/>
    </row>
    <row r="384">
      <c r="C384" s="1"/>
      <c r="D384" s="1"/>
      <c r="E384" s="1"/>
      <c r="F384" s="1"/>
      <c r="G384" s="1"/>
    </row>
    <row r="385">
      <c r="C385" s="1"/>
      <c r="D385" s="1"/>
      <c r="E385" s="1"/>
      <c r="F385" s="1"/>
      <c r="G385" s="1"/>
    </row>
    <row r="386">
      <c r="C386" s="1"/>
      <c r="D386" s="1"/>
      <c r="E386" s="1"/>
      <c r="F386" s="1"/>
      <c r="G386" s="1"/>
    </row>
    <row r="387">
      <c r="C387" s="1"/>
      <c r="D387" s="1"/>
      <c r="E387" s="1"/>
      <c r="F387" s="1"/>
      <c r="G387" s="1"/>
    </row>
    <row r="388">
      <c r="C388" s="1"/>
      <c r="D388" s="1"/>
      <c r="E388" s="1"/>
      <c r="F388" s="1"/>
      <c r="G388" s="1"/>
    </row>
    <row r="389">
      <c r="C389" s="1"/>
      <c r="D389" s="1"/>
      <c r="E389" s="1"/>
      <c r="F389" s="1"/>
      <c r="G389" s="1"/>
    </row>
    <row r="390">
      <c r="C390" s="1"/>
      <c r="D390" s="1"/>
      <c r="E390" s="1"/>
      <c r="F390" s="1"/>
      <c r="G390" s="1"/>
    </row>
    <row r="391">
      <c r="C391" s="1"/>
      <c r="D391" s="1"/>
      <c r="E391" s="1"/>
      <c r="F391" s="1"/>
      <c r="G391" s="1"/>
    </row>
    <row r="392">
      <c r="C392" s="1"/>
      <c r="D392" s="1"/>
      <c r="E392" s="1"/>
      <c r="F392" s="1"/>
      <c r="G392" s="1"/>
    </row>
    <row r="393">
      <c r="C393" s="1"/>
      <c r="D393" s="1"/>
      <c r="E393" s="1"/>
      <c r="F393" s="1"/>
      <c r="G393" s="1"/>
    </row>
    <row r="394">
      <c r="C394" s="1"/>
      <c r="D394" s="1"/>
      <c r="E394" s="1"/>
      <c r="F394" s="1"/>
      <c r="G394" s="1"/>
    </row>
    <row r="395">
      <c r="C395" s="1"/>
      <c r="D395" s="1"/>
      <c r="E395" s="1"/>
      <c r="F395" s="1"/>
      <c r="G395" s="1"/>
    </row>
    <row r="396">
      <c r="C396" s="1"/>
      <c r="D396" s="1"/>
      <c r="E396" s="1"/>
      <c r="F396" s="1"/>
      <c r="G396" s="1"/>
    </row>
    <row r="397">
      <c r="C397" s="1"/>
      <c r="D397" s="1"/>
      <c r="E397" s="1"/>
      <c r="F397" s="1"/>
      <c r="G397" s="1"/>
    </row>
    <row r="398">
      <c r="C398" s="1"/>
      <c r="D398" s="1"/>
      <c r="E398" s="1"/>
      <c r="F398" s="1"/>
      <c r="G398" s="1"/>
    </row>
    <row r="399">
      <c r="C399" s="1"/>
      <c r="D399" s="1"/>
      <c r="E399" s="1"/>
      <c r="F399" s="1"/>
      <c r="G399" s="1"/>
    </row>
    <row r="400">
      <c r="C400" s="1"/>
      <c r="D400" s="1"/>
      <c r="E400" s="1"/>
      <c r="F400" s="1"/>
      <c r="G400" s="1"/>
    </row>
    <row r="401">
      <c r="C401" s="1"/>
      <c r="D401" s="1"/>
      <c r="E401" s="1"/>
      <c r="F401" s="1"/>
      <c r="G401" s="1"/>
    </row>
    <row r="402">
      <c r="C402" s="1"/>
      <c r="D402" s="1"/>
      <c r="E402" s="1"/>
      <c r="F402" s="1"/>
      <c r="G402" s="1"/>
    </row>
    <row r="403">
      <c r="C403" s="1"/>
      <c r="D403" s="1"/>
      <c r="E403" s="1"/>
      <c r="F403" s="1"/>
      <c r="G403" s="1"/>
    </row>
    <row r="404">
      <c r="C404" s="1"/>
      <c r="D404" s="1"/>
      <c r="E404" s="1"/>
      <c r="F404" s="1"/>
      <c r="G404" s="1"/>
    </row>
    <row r="405">
      <c r="C405" s="1"/>
      <c r="D405" s="1"/>
      <c r="E405" s="1"/>
      <c r="F405" s="1"/>
      <c r="G405" s="1"/>
    </row>
    <row r="406">
      <c r="C406" s="1"/>
      <c r="D406" s="1"/>
      <c r="E406" s="1"/>
      <c r="F406" s="1"/>
      <c r="G406" s="1"/>
    </row>
    <row r="407">
      <c r="C407" s="1"/>
      <c r="D407" s="1"/>
      <c r="E407" s="1"/>
      <c r="F407" s="1"/>
      <c r="G407" s="1"/>
    </row>
    <row r="408">
      <c r="C408" s="1"/>
      <c r="D408" s="1"/>
      <c r="E408" s="1"/>
      <c r="F408" s="1"/>
      <c r="G408" s="1"/>
    </row>
    <row r="409">
      <c r="C409" s="1"/>
      <c r="D409" s="1"/>
      <c r="E409" s="1"/>
      <c r="F409" s="1"/>
      <c r="G409" s="1"/>
    </row>
    <row r="410">
      <c r="C410" s="1"/>
      <c r="D410" s="1"/>
      <c r="E410" s="1"/>
      <c r="F410" s="1"/>
      <c r="G410" s="1"/>
    </row>
    <row r="411">
      <c r="C411" s="1"/>
      <c r="D411" s="1"/>
      <c r="E411" s="1"/>
      <c r="F411" s="1"/>
      <c r="G411" s="1"/>
    </row>
    <row r="412">
      <c r="C412" s="1"/>
      <c r="D412" s="1"/>
      <c r="E412" s="1"/>
      <c r="F412" s="1"/>
      <c r="G412" s="1"/>
    </row>
    <row r="413">
      <c r="C413" s="1"/>
      <c r="D413" s="1"/>
      <c r="E413" s="1"/>
      <c r="F413" s="1"/>
      <c r="G413" s="1"/>
    </row>
    <row r="414">
      <c r="C414" s="1"/>
      <c r="D414" s="1"/>
      <c r="E414" s="1"/>
      <c r="F414" s="1"/>
      <c r="G414" s="1"/>
    </row>
    <row r="415">
      <c r="C415" s="1"/>
      <c r="D415" s="1"/>
      <c r="E415" s="1"/>
      <c r="F415" s="1"/>
      <c r="G415" s="1"/>
    </row>
    <row r="416">
      <c r="C416" s="1"/>
      <c r="D416" s="1"/>
      <c r="E416" s="1"/>
      <c r="F416" s="1"/>
      <c r="G416" s="1"/>
    </row>
    <row r="417">
      <c r="C417" s="1"/>
      <c r="D417" s="1"/>
      <c r="E417" s="1"/>
      <c r="F417" s="1"/>
      <c r="G417" s="1"/>
    </row>
    <row r="418">
      <c r="C418" s="1"/>
      <c r="D418" s="1"/>
      <c r="E418" s="1"/>
      <c r="F418" s="1"/>
      <c r="G418" s="1"/>
    </row>
    <row r="419">
      <c r="C419" s="1"/>
      <c r="D419" s="1"/>
      <c r="E419" s="1"/>
      <c r="F419" s="1"/>
      <c r="G419" s="1"/>
    </row>
    <row r="420">
      <c r="C420" s="1"/>
      <c r="D420" s="1"/>
      <c r="E420" s="1"/>
      <c r="F420" s="1"/>
      <c r="G420" s="1"/>
    </row>
    <row r="421">
      <c r="C421" s="1"/>
      <c r="D421" s="1"/>
      <c r="E421" s="1"/>
      <c r="F421" s="1"/>
      <c r="G421" s="1"/>
    </row>
    <row r="422">
      <c r="C422" s="1"/>
      <c r="D422" s="1"/>
      <c r="E422" s="1"/>
      <c r="F422" s="1"/>
      <c r="G422" s="1"/>
    </row>
    <row r="423">
      <c r="C423" s="1"/>
      <c r="D423" s="1"/>
      <c r="E423" s="1"/>
      <c r="F423" s="1"/>
      <c r="G423" s="1"/>
    </row>
    <row r="424">
      <c r="C424" s="1"/>
      <c r="D424" s="1"/>
      <c r="E424" s="1"/>
      <c r="F424" s="1"/>
      <c r="G424" s="1"/>
    </row>
    <row r="425">
      <c r="C425" s="1"/>
      <c r="D425" s="1"/>
      <c r="E425" s="1"/>
      <c r="F425" s="1"/>
      <c r="G425" s="1"/>
    </row>
    <row r="426">
      <c r="C426" s="1"/>
      <c r="D426" s="1"/>
      <c r="E426" s="1"/>
      <c r="F426" s="1"/>
      <c r="G426" s="1"/>
    </row>
    <row r="427">
      <c r="C427" s="1"/>
      <c r="D427" s="1"/>
      <c r="E427" s="1"/>
      <c r="F427" s="1"/>
      <c r="G427" s="1"/>
    </row>
    <row r="428">
      <c r="C428" s="1"/>
      <c r="D428" s="1"/>
      <c r="E428" s="1"/>
      <c r="F428" s="1"/>
      <c r="G428" s="1"/>
    </row>
    <row r="429">
      <c r="C429" s="1"/>
      <c r="D429" s="1"/>
      <c r="E429" s="1"/>
      <c r="F429" s="1"/>
      <c r="G429" s="1"/>
    </row>
    <row r="430">
      <c r="C430" s="1"/>
      <c r="D430" s="1"/>
      <c r="E430" s="1"/>
      <c r="F430" s="1"/>
      <c r="G430" s="1"/>
    </row>
    <row r="431">
      <c r="C431" s="1"/>
      <c r="D431" s="1"/>
      <c r="E431" s="1"/>
      <c r="F431" s="1"/>
      <c r="G431" s="1"/>
    </row>
    <row r="432">
      <c r="C432" s="1"/>
      <c r="D432" s="1"/>
      <c r="E432" s="1"/>
      <c r="F432" s="1"/>
      <c r="G432" s="1"/>
    </row>
    <row r="433">
      <c r="C433" s="1"/>
      <c r="D433" s="1"/>
      <c r="E433" s="1"/>
      <c r="F433" s="1"/>
      <c r="G433" s="1"/>
    </row>
    <row r="434">
      <c r="C434" s="1"/>
      <c r="D434" s="1"/>
      <c r="E434" s="1"/>
      <c r="F434" s="1"/>
      <c r="G434" s="1"/>
    </row>
    <row r="435">
      <c r="C435" s="1"/>
      <c r="D435" s="1"/>
      <c r="E435" s="1"/>
      <c r="F435" s="1"/>
      <c r="G435" s="1"/>
    </row>
    <row r="436">
      <c r="C436" s="1"/>
      <c r="D436" s="1"/>
      <c r="E436" s="1"/>
      <c r="F436" s="1"/>
      <c r="G436" s="1"/>
    </row>
    <row r="437">
      <c r="C437" s="1"/>
      <c r="D437" s="1"/>
      <c r="E437" s="1"/>
      <c r="F437" s="1"/>
      <c r="G437" s="1"/>
    </row>
    <row r="438">
      <c r="C438" s="1"/>
      <c r="D438" s="1"/>
      <c r="E438" s="1"/>
      <c r="F438" s="1"/>
      <c r="G438" s="1"/>
    </row>
    <row r="439">
      <c r="C439" s="1"/>
      <c r="D439" s="1"/>
      <c r="E439" s="1"/>
      <c r="F439" s="1"/>
      <c r="G439" s="1"/>
    </row>
    <row r="440">
      <c r="C440" s="1"/>
      <c r="D440" s="1"/>
      <c r="E440" s="1"/>
      <c r="F440" s="1"/>
      <c r="G440" s="1"/>
    </row>
    <row r="441">
      <c r="C441" s="1"/>
      <c r="D441" s="1"/>
      <c r="E441" s="1"/>
      <c r="F441" s="1"/>
      <c r="G441" s="1"/>
    </row>
    <row r="442">
      <c r="C442" s="1"/>
      <c r="D442" s="1"/>
      <c r="E442" s="1"/>
      <c r="F442" s="1"/>
      <c r="G442" s="1"/>
    </row>
    <row r="443">
      <c r="C443" s="1"/>
      <c r="D443" s="1"/>
      <c r="E443" s="1"/>
      <c r="F443" s="1"/>
      <c r="G443" s="1"/>
    </row>
    <row r="444">
      <c r="C444" s="1"/>
      <c r="D444" s="1"/>
      <c r="E444" s="1"/>
      <c r="F444" s="1"/>
      <c r="G444" s="1"/>
    </row>
    <row r="445">
      <c r="C445" s="1"/>
      <c r="D445" s="1"/>
      <c r="E445" s="1"/>
      <c r="F445" s="1"/>
      <c r="G445" s="1"/>
    </row>
    <row r="446">
      <c r="C446" s="1"/>
      <c r="D446" s="1"/>
      <c r="E446" s="1"/>
      <c r="F446" s="1"/>
      <c r="G446" s="1"/>
    </row>
    <row r="447">
      <c r="C447" s="1"/>
      <c r="D447" s="1"/>
      <c r="E447" s="1"/>
      <c r="F447" s="1"/>
      <c r="G447" s="1"/>
    </row>
    <row r="448">
      <c r="C448" s="1"/>
      <c r="D448" s="1"/>
      <c r="E448" s="1"/>
      <c r="F448" s="1"/>
      <c r="G448" s="1"/>
    </row>
    <row r="449">
      <c r="C449" s="1"/>
      <c r="D449" s="1"/>
      <c r="E449" s="1"/>
      <c r="F449" s="1"/>
      <c r="G449" s="1"/>
    </row>
    <row r="450">
      <c r="C450" s="1"/>
      <c r="D450" s="1"/>
      <c r="E450" s="1"/>
      <c r="F450" s="1"/>
      <c r="G450" s="1"/>
    </row>
    <row r="451">
      <c r="C451" s="1"/>
      <c r="D451" s="1"/>
      <c r="E451" s="1"/>
      <c r="F451" s="1"/>
      <c r="G451" s="1"/>
    </row>
    <row r="452">
      <c r="C452" s="1"/>
      <c r="D452" s="1"/>
      <c r="E452" s="1"/>
      <c r="F452" s="1"/>
      <c r="G452" s="1"/>
    </row>
    <row r="453">
      <c r="C453" s="1"/>
      <c r="D453" s="1"/>
      <c r="E453" s="1"/>
      <c r="F453" s="1"/>
      <c r="G453" s="1"/>
    </row>
    <row r="454">
      <c r="C454" s="1"/>
      <c r="D454" s="1"/>
      <c r="E454" s="1"/>
      <c r="F454" s="1"/>
      <c r="G454" s="1"/>
    </row>
    <row r="455">
      <c r="C455" s="1"/>
      <c r="D455" s="1"/>
      <c r="E455" s="1"/>
      <c r="F455" s="1"/>
      <c r="G455" s="1"/>
    </row>
    <row r="456">
      <c r="C456" s="1"/>
      <c r="D456" s="1"/>
      <c r="E456" s="1"/>
      <c r="F456" s="1"/>
      <c r="G456" s="1"/>
    </row>
    <row r="457">
      <c r="C457" s="1"/>
      <c r="D457" s="1"/>
      <c r="E457" s="1"/>
      <c r="F457" s="1"/>
      <c r="G457" s="1"/>
    </row>
    <row r="458">
      <c r="C458" s="1"/>
      <c r="D458" s="1"/>
      <c r="E458" s="1"/>
      <c r="F458" s="1"/>
      <c r="G458" s="1"/>
    </row>
    <row r="459">
      <c r="C459" s="1"/>
      <c r="D459" s="1"/>
      <c r="E459" s="1"/>
      <c r="F459" s="1"/>
      <c r="G459" s="1"/>
    </row>
    <row r="460">
      <c r="C460" s="1"/>
      <c r="D460" s="1"/>
      <c r="E460" s="1"/>
      <c r="F460" s="1"/>
      <c r="G460" s="1"/>
    </row>
    <row r="461">
      <c r="C461" s="1"/>
      <c r="D461" s="1"/>
      <c r="E461" s="1"/>
      <c r="F461" s="1"/>
      <c r="G461" s="1"/>
    </row>
    <row r="462">
      <c r="C462" s="1"/>
      <c r="D462" s="1"/>
      <c r="E462" s="1"/>
      <c r="F462" s="1"/>
      <c r="G462" s="1"/>
    </row>
    <row r="463">
      <c r="C463" s="1"/>
      <c r="D463" s="1"/>
      <c r="E463" s="1"/>
      <c r="F463" s="1"/>
      <c r="G463" s="1"/>
    </row>
    <row r="464">
      <c r="C464" s="1"/>
      <c r="D464" s="1"/>
      <c r="E464" s="1"/>
      <c r="F464" s="1"/>
      <c r="G464" s="1"/>
    </row>
    <row r="465">
      <c r="C465" s="1"/>
      <c r="D465" s="1"/>
      <c r="E465" s="1"/>
      <c r="F465" s="1"/>
      <c r="G465" s="1"/>
    </row>
    <row r="466">
      <c r="C466" s="1"/>
      <c r="D466" s="1"/>
      <c r="E466" s="1"/>
      <c r="F466" s="1"/>
      <c r="G466" s="1"/>
    </row>
    <row r="467">
      <c r="C467" s="1"/>
      <c r="D467" s="1"/>
      <c r="E467" s="1"/>
      <c r="F467" s="1"/>
      <c r="G467" s="1"/>
    </row>
    <row r="468">
      <c r="C468" s="1"/>
      <c r="D468" s="1"/>
      <c r="E468" s="1"/>
      <c r="F468" s="1"/>
      <c r="G468" s="1"/>
    </row>
    <row r="469">
      <c r="C469" s="1"/>
      <c r="D469" s="1"/>
      <c r="E469" s="1"/>
      <c r="F469" s="1"/>
      <c r="G469" s="1"/>
    </row>
    <row r="470">
      <c r="C470" s="1"/>
      <c r="D470" s="1"/>
      <c r="E470" s="1"/>
      <c r="F470" s="1"/>
      <c r="G470" s="1"/>
    </row>
    <row r="471">
      <c r="C471" s="1"/>
      <c r="D471" s="1"/>
      <c r="E471" s="1"/>
      <c r="F471" s="1"/>
      <c r="G471" s="1"/>
    </row>
    <row r="472">
      <c r="C472" s="1"/>
      <c r="D472" s="1"/>
      <c r="E472" s="1"/>
      <c r="F472" s="1"/>
      <c r="G472" s="1"/>
    </row>
    <row r="473">
      <c r="C473" s="1"/>
      <c r="D473" s="1"/>
      <c r="E473" s="1"/>
      <c r="F473" s="1"/>
      <c r="G473" s="1"/>
    </row>
    <row r="474">
      <c r="C474" s="1"/>
      <c r="D474" s="1"/>
      <c r="E474" s="1"/>
      <c r="F474" s="1"/>
      <c r="G474" s="1"/>
    </row>
    <row r="475">
      <c r="C475" s="1"/>
      <c r="D475" s="1"/>
      <c r="E475" s="1"/>
      <c r="F475" s="1"/>
      <c r="G475" s="1"/>
    </row>
    <row r="476">
      <c r="C476" s="1"/>
      <c r="D476" s="1"/>
      <c r="E476" s="1"/>
      <c r="F476" s="1"/>
      <c r="G476" s="1"/>
    </row>
    <row r="477">
      <c r="C477" s="1"/>
      <c r="D477" s="1"/>
      <c r="E477" s="1"/>
      <c r="F477" s="1"/>
      <c r="G477" s="1"/>
    </row>
    <row r="478">
      <c r="C478" s="1"/>
      <c r="D478" s="1"/>
      <c r="E478" s="1"/>
      <c r="F478" s="1"/>
      <c r="G478" s="1"/>
    </row>
    <row r="479">
      <c r="C479" s="1"/>
      <c r="D479" s="1"/>
      <c r="E479" s="1"/>
      <c r="F479" s="1"/>
      <c r="G479" s="1"/>
    </row>
    <row r="480">
      <c r="C480" s="1"/>
      <c r="D480" s="1"/>
      <c r="E480" s="1"/>
      <c r="F480" s="1"/>
      <c r="G480" s="1"/>
    </row>
    <row r="481">
      <c r="C481" s="1"/>
      <c r="D481" s="1"/>
      <c r="E481" s="1"/>
      <c r="F481" s="1"/>
      <c r="G481" s="1"/>
    </row>
    <row r="482">
      <c r="C482" s="1"/>
      <c r="D482" s="1"/>
      <c r="E482" s="1"/>
      <c r="F482" s="1"/>
      <c r="G482" s="1"/>
    </row>
    <row r="483">
      <c r="C483" s="1"/>
      <c r="D483" s="1"/>
      <c r="E483" s="1"/>
      <c r="F483" s="1"/>
      <c r="G483" s="1"/>
    </row>
    <row r="484">
      <c r="C484" s="1"/>
      <c r="D484" s="1"/>
      <c r="E484" s="1"/>
      <c r="F484" s="1"/>
      <c r="G484" s="1"/>
    </row>
    <row r="485">
      <c r="C485" s="1"/>
      <c r="D485" s="1"/>
      <c r="E485" s="1"/>
      <c r="F485" s="1"/>
      <c r="G485" s="1"/>
    </row>
    <row r="486">
      <c r="C486" s="1"/>
      <c r="D486" s="1"/>
      <c r="E486" s="1"/>
      <c r="F486" s="1"/>
      <c r="G486" s="1"/>
    </row>
    <row r="487">
      <c r="C487" s="1"/>
      <c r="D487" s="1"/>
      <c r="E487" s="1"/>
      <c r="F487" s="1"/>
      <c r="G487" s="1"/>
    </row>
    <row r="488">
      <c r="C488" s="1"/>
      <c r="D488" s="1"/>
      <c r="E488" s="1"/>
      <c r="F488" s="1"/>
      <c r="G488" s="1"/>
    </row>
    <row r="489">
      <c r="C489" s="1"/>
      <c r="D489" s="1"/>
      <c r="E489" s="1"/>
      <c r="F489" s="1"/>
      <c r="G489" s="1"/>
    </row>
    <row r="490">
      <c r="C490" s="1"/>
      <c r="D490" s="1"/>
      <c r="E490" s="1"/>
      <c r="F490" s="1"/>
      <c r="G490" s="1"/>
    </row>
    <row r="491">
      <c r="C491" s="1"/>
      <c r="D491" s="1"/>
      <c r="E491" s="1"/>
      <c r="F491" s="1"/>
      <c r="G491" s="1"/>
    </row>
    <row r="492">
      <c r="C492" s="1"/>
      <c r="D492" s="1"/>
      <c r="E492" s="1"/>
      <c r="F492" s="1"/>
      <c r="G492" s="1"/>
    </row>
    <row r="493">
      <c r="C493" s="1"/>
      <c r="D493" s="1"/>
      <c r="E493" s="1"/>
      <c r="F493" s="1"/>
      <c r="G493" s="1"/>
    </row>
    <row r="494">
      <c r="C494" s="1"/>
      <c r="D494" s="1"/>
      <c r="E494" s="1"/>
      <c r="F494" s="1"/>
      <c r="G494" s="1"/>
    </row>
    <row r="495">
      <c r="C495" s="1"/>
      <c r="D495" s="1"/>
      <c r="E495" s="1"/>
      <c r="F495" s="1"/>
      <c r="G495" s="1"/>
    </row>
    <row r="496">
      <c r="C496" s="1"/>
      <c r="D496" s="1"/>
      <c r="E496" s="1"/>
      <c r="F496" s="1"/>
      <c r="G496" s="1"/>
    </row>
    <row r="497">
      <c r="C497" s="1"/>
      <c r="D497" s="1"/>
      <c r="E497" s="1"/>
      <c r="F497" s="1"/>
      <c r="G497" s="1"/>
    </row>
    <row r="498">
      <c r="C498" s="1"/>
      <c r="D498" s="1"/>
      <c r="E498" s="1"/>
      <c r="F498" s="1"/>
      <c r="G498" s="1"/>
    </row>
    <row r="499">
      <c r="C499" s="1"/>
      <c r="D499" s="1"/>
      <c r="E499" s="1"/>
      <c r="F499" s="1"/>
      <c r="G499" s="1"/>
    </row>
    <row r="500">
      <c r="C500" s="1"/>
      <c r="D500" s="1"/>
      <c r="E500" s="1"/>
      <c r="F500" s="1"/>
      <c r="G500" s="1"/>
    </row>
    <row r="501">
      <c r="C501" s="1"/>
      <c r="D501" s="1"/>
      <c r="E501" s="1"/>
      <c r="F501" s="1"/>
      <c r="G501" s="1"/>
    </row>
    <row r="502">
      <c r="C502" s="1"/>
      <c r="D502" s="1"/>
      <c r="E502" s="1"/>
      <c r="F502" s="1"/>
      <c r="G502" s="1"/>
    </row>
    <row r="503">
      <c r="C503" s="1"/>
      <c r="D503" s="1"/>
      <c r="E503" s="1"/>
      <c r="F503" s="1"/>
      <c r="G503" s="1"/>
    </row>
    <row r="504">
      <c r="C504" s="1"/>
      <c r="D504" s="1"/>
      <c r="E504" s="1"/>
      <c r="F504" s="1"/>
      <c r="G504" s="1"/>
    </row>
    <row r="505">
      <c r="C505" s="1"/>
      <c r="D505" s="1"/>
      <c r="E505" s="1"/>
      <c r="F505" s="1"/>
      <c r="G505" s="1"/>
    </row>
    <row r="506">
      <c r="C506" s="1"/>
      <c r="D506" s="1"/>
      <c r="E506" s="1"/>
      <c r="F506" s="1"/>
      <c r="G506" s="1"/>
    </row>
    <row r="507">
      <c r="C507" s="1"/>
      <c r="D507" s="1"/>
      <c r="E507" s="1"/>
      <c r="F507" s="1"/>
      <c r="G507" s="1"/>
    </row>
    <row r="508">
      <c r="C508" s="1"/>
      <c r="D508" s="1"/>
      <c r="E508" s="1"/>
      <c r="F508" s="1"/>
      <c r="G508" s="1"/>
    </row>
    <row r="509">
      <c r="C509" s="1"/>
      <c r="D509" s="1"/>
      <c r="E509" s="1"/>
      <c r="F509" s="1"/>
      <c r="G509" s="1"/>
    </row>
    <row r="510">
      <c r="C510" s="1"/>
      <c r="D510" s="1"/>
      <c r="E510" s="1"/>
      <c r="F510" s="1"/>
      <c r="G510" s="1"/>
    </row>
    <row r="511">
      <c r="C511" s="1"/>
      <c r="D511" s="1"/>
      <c r="E511" s="1"/>
      <c r="F511" s="1"/>
      <c r="G511" s="1"/>
    </row>
    <row r="512">
      <c r="C512" s="1"/>
      <c r="D512" s="1"/>
      <c r="E512" s="1"/>
      <c r="F512" s="1"/>
      <c r="G512" s="1"/>
    </row>
    <row r="513">
      <c r="C513" s="1"/>
      <c r="D513" s="1"/>
      <c r="E513" s="1"/>
      <c r="F513" s="1"/>
      <c r="G513" s="1"/>
    </row>
    <row r="514">
      <c r="C514" s="1"/>
      <c r="D514" s="1"/>
      <c r="E514" s="1"/>
      <c r="F514" s="1"/>
      <c r="G514" s="1"/>
    </row>
    <row r="515">
      <c r="C515" s="1"/>
      <c r="D515" s="1"/>
      <c r="E515" s="1"/>
      <c r="F515" s="1"/>
      <c r="G515" s="1"/>
    </row>
    <row r="516">
      <c r="C516" s="1"/>
      <c r="D516" s="1"/>
      <c r="E516" s="1"/>
      <c r="F516" s="1"/>
      <c r="G516" s="1"/>
    </row>
    <row r="517">
      <c r="C517" s="1"/>
      <c r="D517" s="1"/>
      <c r="E517" s="1"/>
      <c r="F517" s="1"/>
      <c r="G517" s="1"/>
    </row>
    <row r="518">
      <c r="C518" s="1"/>
      <c r="D518" s="1"/>
      <c r="E518" s="1"/>
      <c r="F518" s="1"/>
      <c r="G518" s="1"/>
    </row>
    <row r="519">
      <c r="C519" s="1"/>
      <c r="D519" s="1"/>
      <c r="E519" s="1"/>
      <c r="F519" s="1"/>
      <c r="G519" s="1"/>
    </row>
    <row r="520">
      <c r="C520" s="1"/>
      <c r="D520" s="1"/>
      <c r="E520" s="1"/>
      <c r="F520" s="1"/>
      <c r="G520" s="1"/>
    </row>
    <row r="521">
      <c r="C521" s="1"/>
      <c r="D521" s="1"/>
      <c r="E521" s="1"/>
      <c r="F521" s="1"/>
      <c r="G521" s="1"/>
    </row>
    <row r="522">
      <c r="C522" s="1"/>
      <c r="D522" s="1"/>
      <c r="E522" s="1"/>
      <c r="F522" s="1"/>
      <c r="G522" s="1"/>
    </row>
    <row r="523">
      <c r="C523" s="1"/>
      <c r="D523" s="1"/>
      <c r="E523" s="1"/>
      <c r="F523" s="1"/>
      <c r="G523" s="1"/>
    </row>
    <row r="524">
      <c r="C524" s="1"/>
      <c r="D524" s="1"/>
      <c r="E524" s="1"/>
      <c r="F524" s="1"/>
      <c r="G524" s="1"/>
    </row>
    <row r="525">
      <c r="C525" s="1"/>
      <c r="D525" s="1"/>
      <c r="E525" s="1"/>
      <c r="F525" s="1"/>
      <c r="G525" s="1"/>
    </row>
    <row r="526">
      <c r="C526" s="1"/>
      <c r="D526" s="1"/>
      <c r="E526" s="1"/>
      <c r="F526" s="1"/>
      <c r="G526" s="1"/>
    </row>
    <row r="527">
      <c r="C527" s="1"/>
      <c r="D527" s="1"/>
      <c r="E527" s="1"/>
      <c r="F527" s="1"/>
      <c r="G527" s="1"/>
    </row>
    <row r="528">
      <c r="C528" s="1"/>
      <c r="D528" s="1"/>
      <c r="E528" s="1"/>
      <c r="F528" s="1"/>
      <c r="G528" s="1"/>
    </row>
    <row r="529">
      <c r="C529" s="1"/>
      <c r="D529" s="1"/>
      <c r="E529" s="1"/>
      <c r="F529" s="1"/>
      <c r="G529" s="1"/>
    </row>
    <row r="530">
      <c r="C530" s="1"/>
      <c r="D530" s="1"/>
      <c r="E530" s="1"/>
      <c r="F530" s="1"/>
      <c r="G530" s="1"/>
    </row>
    <row r="531">
      <c r="C531" s="1"/>
      <c r="D531" s="1"/>
      <c r="E531" s="1"/>
      <c r="F531" s="1"/>
      <c r="G531" s="1"/>
    </row>
    <row r="532">
      <c r="C532" s="1"/>
      <c r="D532" s="1"/>
      <c r="E532" s="1"/>
      <c r="F532" s="1"/>
      <c r="G532" s="1"/>
    </row>
    <row r="533">
      <c r="C533" s="1"/>
      <c r="D533" s="1"/>
      <c r="E533" s="1"/>
      <c r="F533" s="1"/>
      <c r="G533" s="1"/>
    </row>
    <row r="534">
      <c r="C534" s="1"/>
      <c r="D534" s="1"/>
      <c r="E534" s="1"/>
      <c r="F534" s="1"/>
      <c r="G534" s="1"/>
    </row>
    <row r="535">
      <c r="C535" s="1"/>
      <c r="D535" s="1"/>
      <c r="E535" s="1"/>
      <c r="F535" s="1"/>
      <c r="G535" s="1"/>
    </row>
    <row r="536">
      <c r="C536" s="1"/>
      <c r="D536" s="1"/>
      <c r="E536" s="1"/>
      <c r="F536" s="1"/>
      <c r="G536" s="1"/>
    </row>
    <row r="537">
      <c r="C537" s="1"/>
      <c r="D537" s="1"/>
      <c r="E537" s="1"/>
      <c r="F537" s="1"/>
      <c r="G537" s="1"/>
    </row>
    <row r="538">
      <c r="C538" s="1"/>
      <c r="D538" s="1"/>
      <c r="E538" s="1"/>
      <c r="F538" s="1"/>
      <c r="G538" s="1"/>
    </row>
    <row r="539">
      <c r="C539" s="1"/>
      <c r="D539" s="1"/>
      <c r="E539" s="1"/>
      <c r="F539" s="1"/>
      <c r="G539" s="1"/>
    </row>
    <row r="540">
      <c r="C540" s="1"/>
      <c r="D540" s="1"/>
      <c r="E540" s="1"/>
      <c r="F540" s="1"/>
      <c r="G540" s="1"/>
    </row>
    <row r="541">
      <c r="C541" s="1"/>
      <c r="D541" s="1"/>
      <c r="E541" s="1"/>
      <c r="F541" s="1"/>
      <c r="G541" s="1"/>
    </row>
    <row r="542">
      <c r="C542" s="1"/>
      <c r="D542" s="1"/>
      <c r="E542" s="1"/>
      <c r="F542" s="1"/>
      <c r="G542" s="1"/>
    </row>
    <row r="543">
      <c r="C543" s="1"/>
      <c r="D543" s="1"/>
      <c r="E543" s="1"/>
      <c r="F543" s="1"/>
      <c r="G543" s="1"/>
    </row>
    <row r="544">
      <c r="C544" s="1"/>
      <c r="D544" s="1"/>
      <c r="E544" s="1"/>
      <c r="F544" s="1"/>
      <c r="G544" s="1"/>
    </row>
    <row r="545">
      <c r="C545" s="1"/>
      <c r="D545" s="1"/>
      <c r="E545" s="1"/>
      <c r="F545" s="1"/>
      <c r="G545" s="1"/>
    </row>
    <row r="546">
      <c r="C546" s="1"/>
      <c r="D546" s="1"/>
      <c r="E546" s="1"/>
      <c r="F546" s="1"/>
      <c r="G546" s="1"/>
    </row>
    <row r="547">
      <c r="C547" s="1"/>
      <c r="D547" s="1"/>
      <c r="E547" s="1"/>
      <c r="F547" s="1"/>
      <c r="G547" s="1"/>
    </row>
    <row r="548">
      <c r="C548" s="1"/>
      <c r="D548" s="1"/>
      <c r="E548" s="1"/>
      <c r="F548" s="1"/>
      <c r="G548" s="1"/>
    </row>
    <row r="549">
      <c r="C549" s="1"/>
      <c r="D549" s="1"/>
      <c r="E549" s="1"/>
      <c r="F549" s="1"/>
      <c r="G549" s="1"/>
    </row>
    <row r="550">
      <c r="C550" s="1"/>
      <c r="D550" s="1"/>
      <c r="E550" s="1"/>
      <c r="F550" s="1"/>
      <c r="G550" s="1"/>
    </row>
    <row r="551">
      <c r="C551" s="1"/>
      <c r="D551" s="1"/>
      <c r="E551" s="1"/>
      <c r="F551" s="1"/>
      <c r="G551" s="1"/>
    </row>
    <row r="552">
      <c r="C552" s="1"/>
      <c r="D552" s="1"/>
      <c r="E552" s="1"/>
      <c r="F552" s="1"/>
      <c r="G552" s="1"/>
    </row>
    <row r="553">
      <c r="C553" s="1"/>
      <c r="D553" s="1"/>
      <c r="E553" s="1"/>
      <c r="F553" s="1"/>
      <c r="G553" s="1"/>
    </row>
    <row r="554">
      <c r="C554" s="1"/>
      <c r="D554" s="1"/>
      <c r="E554" s="1"/>
      <c r="F554" s="1"/>
      <c r="G554" s="1"/>
    </row>
    <row r="555">
      <c r="C555" s="1"/>
      <c r="D555" s="1"/>
      <c r="E555" s="1"/>
      <c r="F555" s="1"/>
      <c r="G555" s="1"/>
    </row>
    <row r="556">
      <c r="C556" s="1"/>
      <c r="D556" s="1"/>
      <c r="E556" s="1"/>
      <c r="F556" s="1"/>
      <c r="G556" s="1"/>
    </row>
    <row r="557">
      <c r="C557" s="1"/>
      <c r="D557" s="1"/>
      <c r="E557" s="1"/>
      <c r="F557" s="1"/>
      <c r="G557" s="1"/>
    </row>
    <row r="558">
      <c r="C558" s="1"/>
      <c r="D558" s="1"/>
      <c r="E558" s="1"/>
      <c r="F558" s="1"/>
      <c r="G558" s="1"/>
    </row>
    <row r="559">
      <c r="C559" s="1"/>
      <c r="D559" s="1"/>
      <c r="E559" s="1"/>
      <c r="F559" s="1"/>
      <c r="G559" s="1"/>
    </row>
    <row r="560">
      <c r="C560" s="1"/>
      <c r="D560" s="1"/>
      <c r="E560" s="1"/>
      <c r="F560" s="1"/>
      <c r="G560" s="1"/>
    </row>
    <row r="561">
      <c r="C561" s="1"/>
      <c r="D561" s="1"/>
      <c r="E561" s="1"/>
      <c r="F561" s="1"/>
      <c r="G561" s="1"/>
    </row>
    <row r="562">
      <c r="C562" s="1"/>
      <c r="D562" s="1"/>
      <c r="E562" s="1"/>
      <c r="F562" s="1"/>
      <c r="G562" s="1"/>
    </row>
    <row r="563">
      <c r="C563" s="1"/>
      <c r="D563" s="1"/>
      <c r="E563" s="1"/>
      <c r="F563" s="1"/>
      <c r="G563" s="1"/>
    </row>
    <row r="564">
      <c r="C564" s="1"/>
      <c r="D564" s="1"/>
      <c r="E564" s="1"/>
      <c r="F564" s="1"/>
      <c r="G564" s="1"/>
    </row>
    <row r="565">
      <c r="C565" s="1"/>
      <c r="D565" s="1"/>
      <c r="E565" s="1"/>
      <c r="F565" s="1"/>
      <c r="G565" s="1"/>
    </row>
    <row r="566">
      <c r="C566" s="1"/>
      <c r="D566" s="1"/>
      <c r="E566" s="1"/>
      <c r="F566" s="1"/>
      <c r="G566" s="1"/>
    </row>
    <row r="567">
      <c r="C567" s="1"/>
      <c r="D567" s="1"/>
      <c r="E567" s="1"/>
      <c r="F567" s="1"/>
      <c r="G567" s="1"/>
    </row>
    <row r="568">
      <c r="C568" s="1"/>
      <c r="D568" s="1"/>
      <c r="E568" s="1"/>
      <c r="F568" s="1"/>
      <c r="G568" s="1"/>
    </row>
    <row r="569">
      <c r="C569" s="1"/>
      <c r="D569" s="1"/>
      <c r="E569" s="1"/>
      <c r="F569" s="1"/>
      <c r="G569" s="1"/>
    </row>
    <row r="570">
      <c r="C570" s="1"/>
      <c r="D570" s="1"/>
      <c r="E570" s="1"/>
      <c r="F570" s="1"/>
      <c r="G570" s="1"/>
    </row>
    <row r="571">
      <c r="C571" s="1"/>
      <c r="D571" s="1"/>
      <c r="E571" s="1"/>
      <c r="F571" s="1"/>
      <c r="G571" s="1"/>
    </row>
    <row r="572">
      <c r="C572" s="1"/>
      <c r="D572" s="1"/>
      <c r="E572" s="1"/>
      <c r="F572" s="1"/>
      <c r="G572" s="1"/>
    </row>
    <row r="573">
      <c r="C573" s="1"/>
      <c r="D573" s="1"/>
      <c r="E573" s="1"/>
      <c r="F573" s="1"/>
      <c r="G573" s="1"/>
    </row>
    <row r="574">
      <c r="C574" s="1"/>
      <c r="D574" s="1"/>
      <c r="E574" s="1"/>
      <c r="F574" s="1"/>
      <c r="G574" s="1"/>
    </row>
    <row r="575">
      <c r="C575" s="1"/>
      <c r="D575" s="1"/>
      <c r="E575" s="1"/>
      <c r="F575" s="1"/>
      <c r="G575" s="1"/>
    </row>
    <row r="576">
      <c r="C576" s="1"/>
      <c r="D576" s="1"/>
      <c r="E576" s="1"/>
      <c r="F576" s="1"/>
      <c r="G576" s="1"/>
    </row>
    <row r="577">
      <c r="C577" s="1"/>
      <c r="D577" s="1"/>
      <c r="E577" s="1"/>
      <c r="F577" s="1"/>
      <c r="G577" s="1"/>
    </row>
    <row r="578">
      <c r="C578" s="1"/>
      <c r="D578" s="1"/>
      <c r="E578" s="1"/>
      <c r="F578" s="1"/>
      <c r="G578" s="1"/>
    </row>
    <row r="579">
      <c r="C579" s="1"/>
      <c r="D579" s="1"/>
      <c r="E579" s="1"/>
      <c r="F579" s="1"/>
      <c r="G579" s="1"/>
    </row>
    <row r="580">
      <c r="C580" s="1"/>
      <c r="D580" s="1"/>
      <c r="E580" s="1"/>
      <c r="F580" s="1"/>
      <c r="G580" s="1"/>
    </row>
    <row r="581">
      <c r="C581" s="1"/>
      <c r="D581" s="1"/>
      <c r="E581" s="1"/>
      <c r="F581" s="1"/>
      <c r="G581" s="1"/>
    </row>
    <row r="582">
      <c r="C582" s="1"/>
      <c r="D582" s="1"/>
      <c r="E582" s="1"/>
      <c r="F582" s="1"/>
      <c r="G582" s="1"/>
    </row>
    <row r="583">
      <c r="C583" s="1"/>
      <c r="D583" s="1"/>
      <c r="E583" s="1"/>
      <c r="F583" s="1"/>
      <c r="G583" s="1"/>
    </row>
    <row r="584">
      <c r="C584" s="1"/>
      <c r="D584" s="1"/>
      <c r="E584" s="1"/>
      <c r="F584" s="1"/>
      <c r="G584" s="1"/>
    </row>
    <row r="585">
      <c r="C585" s="1"/>
      <c r="D585" s="1"/>
      <c r="E585" s="1"/>
      <c r="F585" s="1"/>
      <c r="G585" s="1"/>
    </row>
    <row r="586">
      <c r="C586" s="1"/>
      <c r="D586" s="1"/>
      <c r="E586" s="1"/>
      <c r="F586" s="1"/>
      <c r="G586" s="1"/>
    </row>
    <row r="587">
      <c r="C587" s="1"/>
      <c r="D587" s="1"/>
      <c r="E587" s="1"/>
      <c r="F587" s="1"/>
      <c r="G587" s="1"/>
    </row>
    <row r="588">
      <c r="C588" s="1"/>
      <c r="D588" s="1"/>
      <c r="E588" s="1"/>
      <c r="F588" s="1"/>
      <c r="G588" s="1"/>
    </row>
    <row r="589">
      <c r="C589" s="1"/>
      <c r="D589" s="1"/>
      <c r="E589" s="1"/>
      <c r="F589" s="1"/>
      <c r="G589" s="1"/>
    </row>
    <row r="590">
      <c r="C590" s="1"/>
      <c r="D590" s="1"/>
      <c r="E590" s="1"/>
      <c r="F590" s="1"/>
      <c r="G590" s="1"/>
    </row>
    <row r="591">
      <c r="C591" s="1"/>
      <c r="D591" s="1"/>
      <c r="E591" s="1"/>
      <c r="F591" s="1"/>
      <c r="G591" s="1"/>
    </row>
    <row r="592">
      <c r="C592" s="1"/>
      <c r="D592" s="1"/>
      <c r="E592" s="1"/>
      <c r="F592" s="1"/>
      <c r="G592" s="1"/>
    </row>
    <row r="593">
      <c r="C593" s="1"/>
      <c r="D593" s="1"/>
      <c r="E593" s="1"/>
      <c r="F593" s="1"/>
      <c r="G593" s="1"/>
    </row>
    <row r="594">
      <c r="C594" s="1"/>
      <c r="D594" s="1"/>
      <c r="E594" s="1"/>
      <c r="F594" s="1"/>
      <c r="G594" s="1"/>
    </row>
    <row r="595">
      <c r="C595" s="1"/>
      <c r="D595" s="1"/>
      <c r="E595" s="1"/>
      <c r="F595" s="1"/>
      <c r="G595" s="1"/>
    </row>
    <row r="596">
      <c r="C596" s="1"/>
      <c r="D596" s="1"/>
      <c r="E596" s="1"/>
      <c r="F596" s="1"/>
      <c r="G596" s="1"/>
    </row>
    <row r="597">
      <c r="C597" s="1"/>
      <c r="D597" s="1"/>
      <c r="E597" s="1"/>
      <c r="F597" s="1"/>
      <c r="G597" s="1"/>
    </row>
    <row r="598">
      <c r="C598" s="1"/>
      <c r="D598" s="1"/>
      <c r="E598" s="1"/>
      <c r="F598" s="1"/>
      <c r="G598" s="1"/>
    </row>
    <row r="599">
      <c r="C599" s="1"/>
      <c r="D599" s="1"/>
      <c r="E599" s="1"/>
      <c r="F599" s="1"/>
      <c r="G599" s="1"/>
    </row>
    <row r="600">
      <c r="C600" s="1"/>
      <c r="D600" s="1"/>
      <c r="E600" s="1"/>
      <c r="F600" s="1"/>
      <c r="G600" s="1"/>
    </row>
    <row r="601">
      <c r="C601" s="1"/>
      <c r="D601" s="1"/>
      <c r="E601" s="1"/>
      <c r="F601" s="1"/>
      <c r="G601" s="1"/>
    </row>
    <row r="602">
      <c r="C602" s="1"/>
      <c r="D602" s="1"/>
      <c r="E602" s="1"/>
      <c r="F602" s="1"/>
      <c r="G602" s="1"/>
    </row>
    <row r="603">
      <c r="C603" s="1"/>
      <c r="D603" s="1"/>
      <c r="E603" s="1"/>
      <c r="F603" s="1"/>
      <c r="G603" s="1"/>
    </row>
    <row r="604">
      <c r="C604" s="1"/>
      <c r="D604" s="1"/>
      <c r="E604" s="1"/>
      <c r="F604" s="1"/>
      <c r="G604" s="1"/>
    </row>
    <row r="605">
      <c r="C605" s="1"/>
      <c r="D605" s="1"/>
      <c r="E605" s="1"/>
      <c r="F605" s="1"/>
      <c r="G605" s="1"/>
    </row>
    <row r="606">
      <c r="C606" s="1"/>
      <c r="D606" s="1"/>
      <c r="E606" s="1"/>
      <c r="F606" s="1"/>
      <c r="G606" s="1"/>
    </row>
    <row r="607">
      <c r="C607" s="1"/>
      <c r="D607" s="1"/>
      <c r="E607" s="1"/>
      <c r="F607" s="1"/>
      <c r="G607" s="1"/>
    </row>
    <row r="608">
      <c r="C608" s="1"/>
      <c r="D608" s="1"/>
      <c r="E608" s="1"/>
      <c r="F608" s="1"/>
      <c r="G608" s="1"/>
    </row>
    <row r="609">
      <c r="C609" s="1"/>
      <c r="D609" s="1"/>
      <c r="E609" s="1"/>
      <c r="F609" s="1"/>
      <c r="G609" s="1"/>
    </row>
    <row r="610">
      <c r="C610" s="1"/>
      <c r="D610" s="1"/>
      <c r="E610" s="1"/>
      <c r="F610" s="1"/>
      <c r="G610" s="1"/>
    </row>
    <row r="611">
      <c r="C611" s="1"/>
      <c r="D611" s="1"/>
      <c r="E611" s="1"/>
      <c r="F611" s="1"/>
      <c r="G611" s="1"/>
    </row>
    <row r="612">
      <c r="C612" s="1"/>
      <c r="D612" s="1"/>
      <c r="E612" s="1"/>
      <c r="F612" s="1"/>
      <c r="G612" s="1"/>
    </row>
    <row r="613">
      <c r="C613" s="1"/>
      <c r="D613" s="1"/>
      <c r="E613" s="1"/>
      <c r="F613" s="1"/>
      <c r="G613" s="1"/>
    </row>
    <row r="614">
      <c r="C614" s="1"/>
      <c r="D614" s="1"/>
      <c r="E614" s="1"/>
      <c r="F614" s="1"/>
      <c r="G614" s="1"/>
    </row>
    <row r="615">
      <c r="C615" s="1"/>
      <c r="D615" s="1"/>
      <c r="E615" s="1"/>
      <c r="F615" s="1"/>
      <c r="G615" s="1"/>
    </row>
    <row r="616">
      <c r="C616" s="1"/>
      <c r="D616" s="1"/>
      <c r="E616" s="1"/>
      <c r="F616" s="1"/>
      <c r="G616" s="1"/>
    </row>
    <row r="617">
      <c r="C617" s="1"/>
      <c r="D617" s="1"/>
      <c r="E617" s="1"/>
      <c r="F617" s="1"/>
      <c r="G617" s="1"/>
    </row>
    <row r="618">
      <c r="C618" s="1"/>
      <c r="D618" s="1"/>
      <c r="E618" s="1"/>
      <c r="F618" s="1"/>
      <c r="G618" s="1"/>
    </row>
    <row r="619">
      <c r="C619" s="1"/>
      <c r="D619" s="1"/>
      <c r="E619" s="1"/>
      <c r="F619" s="1"/>
      <c r="G619" s="1"/>
    </row>
    <row r="620">
      <c r="C620" s="1"/>
      <c r="D620" s="1"/>
      <c r="E620" s="1"/>
      <c r="F620" s="1"/>
      <c r="G620" s="1"/>
    </row>
    <row r="621">
      <c r="C621" s="1"/>
      <c r="D621" s="1"/>
      <c r="E621" s="1"/>
      <c r="F621" s="1"/>
      <c r="G621" s="1"/>
    </row>
    <row r="622">
      <c r="C622" s="1"/>
      <c r="D622" s="1"/>
      <c r="E622" s="1"/>
      <c r="F622" s="1"/>
      <c r="G622" s="1"/>
    </row>
    <row r="623">
      <c r="C623" s="1"/>
      <c r="D623" s="1"/>
      <c r="E623" s="1"/>
      <c r="F623" s="1"/>
      <c r="G623" s="1"/>
    </row>
    <row r="624">
      <c r="C624" s="1"/>
      <c r="D624" s="1"/>
      <c r="E624" s="1"/>
      <c r="F624" s="1"/>
      <c r="G624" s="1"/>
    </row>
    <row r="625">
      <c r="C625" s="1"/>
      <c r="D625" s="1"/>
      <c r="E625" s="1"/>
      <c r="F625" s="1"/>
      <c r="G625" s="1"/>
    </row>
    <row r="626">
      <c r="C626" s="1"/>
      <c r="D626" s="1"/>
      <c r="E626" s="1"/>
      <c r="F626" s="1"/>
      <c r="G626" s="1"/>
    </row>
    <row r="627">
      <c r="C627" s="1"/>
      <c r="D627" s="1"/>
      <c r="E627" s="1"/>
      <c r="F627" s="1"/>
      <c r="G627" s="1"/>
    </row>
    <row r="628">
      <c r="C628" s="1"/>
      <c r="D628" s="1"/>
      <c r="E628" s="1"/>
      <c r="F628" s="1"/>
      <c r="G628" s="1"/>
    </row>
    <row r="629">
      <c r="C629" s="1"/>
      <c r="D629" s="1"/>
      <c r="E629" s="1"/>
      <c r="F629" s="1"/>
      <c r="G629" s="1"/>
    </row>
    <row r="630">
      <c r="C630" s="1"/>
      <c r="D630" s="1"/>
      <c r="E630" s="1"/>
      <c r="F630" s="1"/>
      <c r="G630" s="1"/>
    </row>
    <row r="631">
      <c r="C631" s="1"/>
      <c r="D631" s="1"/>
      <c r="E631" s="1"/>
      <c r="F631" s="1"/>
      <c r="G631" s="1"/>
    </row>
    <row r="632">
      <c r="C632" s="1"/>
      <c r="D632" s="1"/>
      <c r="E632" s="1"/>
      <c r="F632" s="1"/>
      <c r="G632" s="1"/>
    </row>
    <row r="633">
      <c r="C633" s="1"/>
      <c r="D633" s="1"/>
      <c r="E633" s="1"/>
      <c r="F633" s="1"/>
      <c r="G633" s="1"/>
    </row>
    <row r="634">
      <c r="C634" s="1"/>
      <c r="D634" s="1"/>
      <c r="E634" s="1"/>
      <c r="F634" s="1"/>
      <c r="G634" s="1"/>
    </row>
    <row r="635">
      <c r="C635" s="1"/>
      <c r="D635" s="1"/>
      <c r="E635" s="1"/>
      <c r="F635" s="1"/>
      <c r="G635" s="1"/>
    </row>
    <row r="636">
      <c r="C636" s="1"/>
      <c r="D636" s="1"/>
      <c r="E636" s="1"/>
      <c r="F636" s="1"/>
      <c r="G636" s="1"/>
    </row>
    <row r="637">
      <c r="C637" s="1"/>
      <c r="D637" s="1"/>
      <c r="E637" s="1"/>
      <c r="F637" s="1"/>
      <c r="G637" s="1"/>
    </row>
    <row r="638">
      <c r="C638" s="1"/>
      <c r="D638" s="1"/>
      <c r="E638" s="1"/>
      <c r="F638" s="1"/>
      <c r="G638" s="1"/>
    </row>
    <row r="639">
      <c r="C639" s="1"/>
      <c r="D639" s="1"/>
      <c r="E639" s="1"/>
      <c r="F639" s="1"/>
      <c r="G639" s="1"/>
    </row>
    <row r="640">
      <c r="C640" s="1"/>
      <c r="D640" s="1"/>
      <c r="E640" s="1"/>
      <c r="F640" s="1"/>
      <c r="G640" s="1"/>
    </row>
    <row r="641">
      <c r="C641" s="1"/>
      <c r="D641" s="1"/>
      <c r="E641" s="1"/>
      <c r="F641" s="1"/>
      <c r="G641" s="1"/>
    </row>
    <row r="642">
      <c r="C642" s="1"/>
      <c r="D642" s="1"/>
      <c r="E642" s="1"/>
      <c r="F642" s="1"/>
      <c r="G642" s="1"/>
    </row>
    <row r="643">
      <c r="C643" s="1"/>
      <c r="D643" s="1"/>
      <c r="E643" s="1"/>
      <c r="F643" s="1"/>
      <c r="G643" s="1"/>
    </row>
    <row r="644">
      <c r="C644" s="1"/>
      <c r="D644" s="1"/>
      <c r="E644" s="1"/>
      <c r="F644" s="1"/>
      <c r="G644" s="1"/>
    </row>
    <row r="645">
      <c r="C645" s="1"/>
      <c r="D645" s="1"/>
      <c r="E645" s="1"/>
      <c r="F645" s="1"/>
      <c r="G645" s="1"/>
    </row>
    <row r="646">
      <c r="C646" s="1"/>
      <c r="D646" s="1"/>
      <c r="E646" s="1"/>
      <c r="F646" s="1"/>
      <c r="G646" s="1"/>
    </row>
    <row r="647">
      <c r="C647" s="1"/>
      <c r="D647" s="1"/>
      <c r="E647" s="1"/>
      <c r="F647" s="1"/>
      <c r="G647" s="1"/>
    </row>
    <row r="648">
      <c r="C648" s="1"/>
      <c r="D648" s="1"/>
      <c r="E648" s="1"/>
      <c r="F648" s="1"/>
      <c r="G648" s="1"/>
    </row>
    <row r="649">
      <c r="C649" s="1"/>
      <c r="D649" s="1"/>
      <c r="E649" s="1"/>
      <c r="F649" s="1"/>
      <c r="G649" s="1"/>
    </row>
    <row r="650">
      <c r="C650" s="1"/>
      <c r="D650" s="1"/>
      <c r="E650" s="1"/>
      <c r="F650" s="1"/>
      <c r="G650" s="1"/>
    </row>
    <row r="651">
      <c r="C651" s="1"/>
      <c r="D651" s="1"/>
      <c r="E651" s="1"/>
      <c r="F651" s="1"/>
      <c r="G651" s="1"/>
    </row>
    <row r="652">
      <c r="C652" s="1"/>
      <c r="D652" s="1"/>
      <c r="E652" s="1"/>
      <c r="F652" s="1"/>
      <c r="G652" s="1"/>
    </row>
    <row r="653">
      <c r="C653" s="1"/>
      <c r="D653" s="1"/>
      <c r="E653" s="1"/>
      <c r="F653" s="1"/>
      <c r="G653" s="1"/>
    </row>
    <row r="654">
      <c r="C654" s="1"/>
      <c r="D654" s="1"/>
      <c r="E654" s="1"/>
      <c r="F654" s="1"/>
      <c r="G654" s="1"/>
    </row>
    <row r="655">
      <c r="C655" s="1"/>
      <c r="D655" s="1"/>
      <c r="E655" s="1"/>
      <c r="F655" s="1"/>
      <c r="G655" s="1"/>
    </row>
    <row r="656">
      <c r="C656" s="1"/>
      <c r="D656" s="1"/>
      <c r="E656" s="1"/>
      <c r="F656" s="1"/>
      <c r="G656" s="1"/>
    </row>
    <row r="657">
      <c r="C657" s="1"/>
      <c r="D657" s="1"/>
      <c r="E657" s="1"/>
      <c r="F657" s="1"/>
      <c r="G657" s="1"/>
    </row>
    <row r="658">
      <c r="C658" s="1"/>
      <c r="D658" s="1"/>
      <c r="E658" s="1"/>
      <c r="F658" s="1"/>
      <c r="G658" s="1"/>
    </row>
    <row r="659">
      <c r="C659" s="1"/>
      <c r="D659" s="1"/>
      <c r="E659" s="1"/>
      <c r="F659" s="1"/>
      <c r="G659" s="1"/>
    </row>
    <row r="660">
      <c r="C660" s="1"/>
      <c r="D660" s="1"/>
      <c r="E660" s="1"/>
      <c r="F660" s="1"/>
      <c r="G660" s="1"/>
    </row>
    <row r="661">
      <c r="C661" s="1"/>
      <c r="D661" s="1"/>
      <c r="E661" s="1"/>
      <c r="F661" s="1"/>
      <c r="G661" s="1"/>
    </row>
    <row r="662">
      <c r="C662" s="1"/>
      <c r="D662" s="1"/>
      <c r="E662" s="1"/>
      <c r="F662" s="1"/>
      <c r="G662" s="1"/>
    </row>
    <row r="663">
      <c r="C663" s="1"/>
      <c r="D663" s="1"/>
      <c r="E663" s="1"/>
      <c r="F663" s="1"/>
      <c r="G663" s="1"/>
    </row>
    <row r="664">
      <c r="C664" s="1"/>
      <c r="D664" s="1"/>
      <c r="E664" s="1"/>
      <c r="F664" s="1"/>
      <c r="G664" s="1"/>
    </row>
    <row r="665">
      <c r="C665" s="1"/>
      <c r="D665" s="1"/>
      <c r="E665" s="1"/>
      <c r="F665" s="1"/>
      <c r="G665" s="1"/>
    </row>
    <row r="666">
      <c r="C666" s="1"/>
      <c r="D666" s="1"/>
      <c r="E666" s="1"/>
      <c r="F666" s="1"/>
      <c r="G666" s="1"/>
    </row>
    <row r="667">
      <c r="C667" s="1"/>
      <c r="D667" s="1"/>
      <c r="E667" s="1"/>
      <c r="F667" s="1"/>
      <c r="G667" s="1"/>
    </row>
    <row r="668">
      <c r="C668" s="1"/>
      <c r="D668" s="1"/>
      <c r="E668" s="1"/>
      <c r="F668" s="1"/>
      <c r="G668" s="1"/>
    </row>
    <row r="669">
      <c r="C669" s="1"/>
      <c r="D669" s="1"/>
      <c r="E669" s="1"/>
      <c r="F669" s="1"/>
      <c r="G669" s="1"/>
    </row>
    <row r="670">
      <c r="C670" s="1"/>
      <c r="D670" s="1"/>
      <c r="E670" s="1"/>
      <c r="F670" s="1"/>
      <c r="G670" s="1"/>
    </row>
    <row r="671">
      <c r="C671" s="1"/>
      <c r="D671" s="1"/>
      <c r="E671" s="1"/>
      <c r="F671" s="1"/>
      <c r="G671" s="1"/>
    </row>
    <row r="672">
      <c r="C672" s="1"/>
      <c r="D672" s="1"/>
      <c r="E672" s="1"/>
      <c r="F672" s="1"/>
      <c r="G672" s="1"/>
    </row>
    <row r="673">
      <c r="C673" s="1"/>
      <c r="D673" s="1"/>
      <c r="E673" s="1"/>
      <c r="F673" s="1"/>
      <c r="G673" s="1"/>
    </row>
    <row r="674">
      <c r="C674" s="1"/>
      <c r="D674" s="1"/>
      <c r="E674" s="1"/>
      <c r="F674" s="1"/>
      <c r="G674" s="1"/>
    </row>
    <row r="675">
      <c r="C675" s="1"/>
      <c r="D675" s="1"/>
      <c r="E675" s="1"/>
      <c r="F675" s="1"/>
      <c r="G675" s="1"/>
    </row>
    <row r="676">
      <c r="C676" s="1"/>
      <c r="D676" s="1"/>
      <c r="E676" s="1"/>
      <c r="F676" s="1"/>
      <c r="G676" s="1"/>
    </row>
    <row r="677">
      <c r="C677" s="1"/>
      <c r="D677" s="1"/>
      <c r="E677" s="1"/>
      <c r="F677" s="1"/>
      <c r="G677" s="1"/>
    </row>
    <row r="678">
      <c r="C678" s="1"/>
      <c r="D678" s="1"/>
      <c r="E678" s="1"/>
      <c r="F678" s="1"/>
      <c r="G678" s="1"/>
    </row>
    <row r="679">
      <c r="C679" s="1"/>
      <c r="D679" s="1"/>
      <c r="E679" s="1"/>
      <c r="F679" s="1"/>
      <c r="G679" s="1"/>
    </row>
    <row r="680">
      <c r="C680" s="1"/>
      <c r="D680" s="1"/>
      <c r="E680" s="1"/>
      <c r="F680" s="1"/>
      <c r="G680" s="1"/>
    </row>
    <row r="681">
      <c r="C681" s="1"/>
      <c r="D681" s="1"/>
      <c r="E681" s="1"/>
      <c r="F681" s="1"/>
      <c r="G681" s="1"/>
    </row>
    <row r="682">
      <c r="C682" s="1"/>
      <c r="D682" s="1"/>
      <c r="E682" s="1"/>
      <c r="F682" s="1"/>
      <c r="G682" s="1"/>
    </row>
    <row r="683">
      <c r="C683" s="1"/>
      <c r="D683" s="1"/>
      <c r="E683" s="1"/>
      <c r="F683" s="1"/>
      <c r="G683" s="1"/>
    </row>
    <row r="684">
      <c r="C684" s="1"/>
      <c r="D684" s="1"/>
      <c r="E684" s="1"/>
      <c r="F684" s="1"/>
      <c r="G684" s="1"/>
    </row>
    <row r="685">
      <c r="C685" s="1"/>
      <c r="D685" s="1"/>
      <c r="E685" s="1"/>
      <c r="F685" s="1"/>
      <c r="G685" s="1"/>
    </row>
    <row r="686">
      <c r="C686" s="1"/>
      <c r="D686" s="1"/>
      <c r="E686" s="1"/>
      <c r="F686" s="1"/>
      <c r="G686" s="1"/>
    </row>
    <row r="687">
      <c r="C687" s="1"/>
      <c r="D687" s="1"/>
      <c r="E687" s="1"/>
      <c r="F687" s="1"/>
      <c r="G687" s="1"/>
    </row>
    <row r="688">
      <c r="C688" s="1"/>
      <c r="D688" s="1"/>
      <c r="E688" s="1"/>
      <c r="F688" s="1"/>
      <c r="G688" s="1"/>
    </row>
    <row r="689">
      <c r="C689" s="1"/>
      <c r="D689" s="1"/>
      <c r="E689" s="1"/>
      <c r="F689" s="1"/>
      <c r="G689" s="1"/>
    </row>
    <row r="690">
      <c r="C690" s="1"/>
      <c r="D690" s="1"/>
      <c r="E690" s="1"/>
      <c r="F690" s="1"/>
      <c r="G690" s="1"/>
    </row>
    <row r="691">
      <c r="C691" s="1"/>
      <c r="D691" s="1"/>
      <c r="E691" s="1"/>
      <c r="F691" s="1"/>
      <c r="G691" s="1"/>
    </row>
    <row r="692">
      <c r="C692" s="1"/>
      <c r="D692" s="1"/>
      <c r="E692" s="1"/>
      <c r="F692" s="1"/>
      <c r="G692" s="1"/>
    </row>
    <row r="693">
      <c r="C693" s="1"/>
      <c r="D693" s="1"/>
      <c r="E693" s="1"/>
      <c r="F693" s="1"/>
      <c r="G693" s="1"/>
    </row>
    <row r="694">
      <c r="C694" s="1"/>
      <c r="D694" s="1"/>
      <c r="E694" s="1"/>
      <c r="F694" s="1"/>
      <c r="G694" s="1"/>
    </row>
    <row r="695">
      <c r="C695" s="1"/>
      <c r="D695" s="1"/>
      <c r="E695" s="1"/>
      <c r="F695" s="1"/>
      <c r="G695" s="1"/>
    </row>
    <row r="696">
      <c r="C696" s="1"/>
      <c r="D696" s="1"/>
      <c r="E696" s="1"/>
      <c r="F696" s="1"/>
      <c r="G696" s="1"/>
    </row>
    <row r="697">
      <c r="C697" s="1"/>
      <c r="D697" s="1"/>
      <c r="E697" s="1"/>
      <c r="F697" s="1"/>
      <c r="G697" s="1"/>
    </row>
    <row r="698">
      <c r="C698" s="1"/>
      <c r="D698" s="1"/>
      <c r="E698" s="1"/>
      <c r="F698" s="1"/>
      <c r="G698" s="1"/>
    </row>
    <row r="699">
      <c r="C699" s="1"/>
      <c r="D699" s="1"/>
      <c r="E699" s="1"/>
      <c r="F699" s="1"/>
      <c r="G699" s="1"/>
    </row>
    <row r="700">
      <c r="C700" s="1"/>
      <c r="D700" s="1"/>
      <c r="E700" s="1"/>
      <c r="F700" s="1"/>
      <c r="G700" s="1"/>
    </row>
    <row r="701">
      <c r="C701" s="1"/>
      <c r="D701" s="1"/>
      <c r="E701" s="1"/>
      <c r="F701" s="1"/>
      <c r="G701" s="1"/>
    </row>
    <row r="702">
      <c r="C702" s="1"/>
      <c r="D702" s="1"/>
      <c r="E702" s="1"/>
      <c r="F702" s="1"/>
      <c r="G702" s="1"/>
    </row>
    <row r="703">
      <c r="C703" s="1"/>
      <c r="D703" s="1"/>
      <c r="E703" s="1"/>
      <c r="F703" s="1"/>
      <c r="G703" s="1"/>
    </row>
    <row r="704">
      <c r="C704" s="1"/>
      <c r="D704" s="1"/>
      <c r="E704" s="1"/>
      <c r="F704" s="1"/>
      <c r="G704" s="1"/>
    </row>
    <row r="705">
      <c r="C705" s="1"/>
      <c r="D705" s="1"/>
      <c r="E705" s="1"/>
      <c r="F705" s="1"/>
      <c r="G705" s="1"/>
    </row>
    <row r="706">
      <c r="C706" s="1"/>
      <c r="D706" s="1"/>
      <c r="E706" s="1"/>
      <c r="F706" s="1"/>
      <c r="G706" s="1"/>
    </row>
    <row r="707">
      <c r="C707" s="1"/>
      <c r="D707" s="1"/>
      <c r="E707" s="1"/>
      <c r="F707" s="1"/>
      <c r="G707" s="1"/>
    </row>
    <row r="708">
      <c r="C708" s="1"/>
      <c r="D708" s="1"/>
      <c r="E708" s="1"/>
      <c r="F708" s="1"/>
      <c r="G708" s="1"/>
    </row>
    <row r="709">
      <c r="C709" s="1"/>
      <c r="D709" s="1"/>
      <c r="E709" s="1"/>
      <c r="F709" s="1"/>
      <c r="G709" s="1"/>
    </row>
    <row r="710">
      <c r="C710" s="1"/>
      <c r="D710" s="1"/>
      <c r="E710" s="1"/>
      <c r="F710" s="1"/>
      <c r="G710" s="1"/>
    </row>
    <row r="711">
      <c r="C711" s="1"/>
      <c r="D711" s="1"/>
      <c r="E711" s="1"/>
      <c r="F711" s="1"/>
      <c r="G711" s="1"/>
    </row>
    <row r="712">
      <c r="C712" s="1"/>
      <c r="D712" s="1"/>
      <c r="E712" s="1"/>
      <c r="F712" s="1"/>
      <c r="G712" s="1"/>
    </row>
    <row r="713">
      <c r="C713" s="1"/>
      <c r="D713" s="1"/>
      <c r="E713" s="1"/>
      <c r="F713" s="1"/>
      <c r="G713" s="1"/>
    </row>
    <row r="714">
      <c r="C714" s="1"/>
      <c r="D714" s="1"/>
      <c r="E714" s="1"/>
      <c r="F714" s="1"/>
      <c r="G714" s="1"/>
    </row>
    <row r="715">
      <c r="C715" s="1"/>
      <c r="D715" s="1"/>
      <c r="E715" s="1"/>
      <c r="F715" s="1"/>
      <c r="G715" s="1"/>
    </row>
    <row r="716">
      <c r="C716" s="1"/>
      <c r="D716" s="1"/>
      <c r="E716" s="1"/>
      <c r="F716" s="1"/>
      <c r="G716" s="1"/>
    </row>
    <row r="717">
      <c r="C717" s="1"/>
      <c r="D717" s="1"/>
      <c r="E717" s="1"/>
      <c r="F717" s="1"/>
      <c r="G717" s="1"/>
    </row>
    <row r="718">
      <c r="C718" s="1"/>
      <c r="D718" s="1"/>
      <c r="E718" s="1"/>
      <c r="F718" s="1"/>
      <c r="G718" s="1"/>
    </row>
    <row r="719">
      <c r="C719" s="1"/>
      <c r="D719" s="1"/>
      <c r="E719" s="1"/>
      <c r="F719" s="1"/>
      <c r="G719" s="1"/>
    </row>
    <row r="720">
      <c r="C720" s="1"/>
      <c r="D720" s="1"/>
      <c r="E720" s="1"/>
      <c r="F720" s="1"/>
      <c r="G720" s="1"/>
    </row>
    <row r="721">
      <c r="C721" s="1"/>
      <c r="D721" s="1"/>
      <c r="E721" s="1"/>
      <c r="F721" s="1"/>
      <c r="G721" s="1"/>
    </row>
    <row r="722">
      <c r="C722" s="1"/>
      <c r="D722" s="1"/>
      <c r="E722" s="1"/>
      <c r="F722" s="1"/>
      <c r="G722" s="1"/>
    </row>
    <row r="723">
      <c r="C723" s="1"/>
      <c r="D723" s="1"/>
      <c r="E723" s="1"/>
      <c r="F723" s="1"/>
      <c r="G723" s="1"/>
    </row>
    <row r="724">
      <c r="C724" s="1"/>
      <c r="D724" s="1"/>
      <c r="E724" s="1"/>
      <c r="F724" s="1"/>
      <c r="G724" s="1"/>
    </row>
    <row r="725">
      <c r="C725" s="1"/>
      <c r="D725" s="1"/>
      <c r="E725" s="1"/>
      <c r="F725" s="1"/>
      <c r="G725" s="1"/>
    </row>
    <row r="726">
      <c r="C726" s="1"/>
      <c r="D726" s="1"/>
      <c r="E726" s="1"/>
      <c r="F726" s="1"/>
      <c r="G726" s="1"/>
    </row>
    <row r="727">
      <c r="C727" s="1"/>
      <c r="D727" s="1"/>
      <c r="E727" s="1"/>
      <c r="F727" s="1"/>
      <c r="G727" s="1"/>
    </row>
    <row r="728">
      <c r="C728" s="1"/>
      <c r="D728" s="1"/>
      <c r="E728" s="1"/>
      <c r="F728" s="1"/>
      <c r="G728" s="1"/>
    </row>
    <row r="729">
      <c r="C729" s="1"/>
      <c r="D729" s="1"/>
      <c r="E729" s="1"/>
      <c r="F729" s="1"/>
      <c r="G729" s="1"/>
    </row>
    <row r="730">
      <c r="C730" s="1"/>
      <c r="D730" s="1"/>
      <c r="E730" s="1"/>
      <c r="F730" s="1"/>
      <c r="G730" s="1"/>
    </row>
    <row r="731">
      <c r="C731" s="1"/>
      <c r="D731" s="1"/>
      <c r="E731" s="1"/>
      <c r="F731" s="1"/>
      <c r="G731" s="1"/>
    </row>
    <row r="732">
      <c r="C732" s="1"/>
      <c r="D732" s="1"/>
      <c r="E732" s="1"/>
      <c r="F732" s="1"/>
      <c r="G732" s="1"/>
    </row>
    <row r="733">
      <c r="C733" s="1"/>
      <c r="D733" s="1"/>
      <c r="E733" s="1"/>
      <c r="F733" s="1"/>
      <c r="G733" s="1"/>
    </row>
    <row r="734">
      <c r="C734" s="1"/>
      <c r="D734" s="1"/>
      <c r="E734" s="1"/>
      <c r="F734" s="1"/>
      <c r="G734" s="1"/>
    </row>
    <row r="735">
      <c r="C735" s="1"/>
      <c r="D735" s="1"/>
      <c r="E735" s="1"/>
      <c r="F735" s="1"/>
      <c r="G735" s="1"/>
    </row>
    <row r="736">
      <c r="C736" s="1"/>
      <c r="D736" s="1"/>
      <c r="E736" s="1"/>
      <c r="F736" s="1"/>
      <c r="G736" s="1"/>
    </row>
    <row r="737">
      <c r="C737" s="1"/>
      <c r="D737" s="1"/>
      <c r="E737" s="1"/>
      <c r="F737" s="1"/>
      <c r="G737" s="1"/>
    </row>
    <row r="738">
      <c r="C738" s="1"/>
      <c r="D738" s="1"/>
      <c r="E738" s="1"/>
      <c r="F738" s="1"/>
      <c r="G738" s="1"/>
    </row>
    <row r="739">
      <c r="C739" s="1"/>
      <c r="D739" s="1"/>
      <c r="E739" s="1"/>
      <c r="F739" s="1"/>
      <c r="G739" s="1"/>
    </row>
    <row r="740">
      <c r="C740" s="1"/>
      <c r="D740" s="1"/>
      <c r="E740" s="1"/>
      <c r="F740" s="1"/>
      <c r="G740" s="1"/>
    </row>
    <row r="741">
      <c r="C741" s="1"/>
      <c r="D741" s="1"/>
      <c r="E741" s="1"/>
      <c r="F741" s="1"/>
      <c r="G741" s="1"/>
    </row>
    <row r="742">
      <c r="C742" s="1"/>
      <c r="D742" s="1"/>
      <c r="E742" s="1"/>
      <c r="F742" s="1"/>
      <c r="G742" s="1"/>
    </row>
    <row r="743">
      <c r="C743" s="1"/>
      <c r="D743" s="1"/>
      <c r="E743" s="1"/>
      <c r="F743" s="1"/>
      <c r="G743" s="1"/>
    </row>
    <row r="744">
      <c r="C744" s="1"/>
      <c r="D744" s="1"/>
      <c r="E744" s="1"/>
      <c r="F744" s="1"/>
      <c r="G744" s="1"/>
    </row>
    <row r="745">
      <c r="C745" s="1"/>
      <c r="D745" s="1"/>
      <c r="E745" s="1"/>
      <c r="F745" s="1"/>
      <c r="G745" s="1"/>
    </row>
    <row r="746">
      <c r="C746" s="1"/>
      <c r="D746" s="1"/>
      <c r="E746" s="1"/>
      <c r="F746" s="1"/>
      <c r="G746" s="1"/>
    </row>
    <row r="747">
      <c r="C747" s="1"/>
      <c r="D747" s="1"/>
      <c r="E747" s="1"/>
      <c r="F747" s="1"/>
      <c r="G747" s="1"/>
    </row>
    <row r="748">
      <c r="C748" s="1"/>
      <c r="D748" s="1"/>
      <c r="E748" s="1"/>
      <c r="F748" s="1"/>
      <c r="G748" s="1"/>
    </row>
    <row r="749">
      <c r="C749" s="1"/>
      <c r="D749" s="1"/>
      <c r="E749" s="1"/>
      <c r="F749" s="1"/>
      <c r="G749" s="1"/>
    </row>
    <row r="750">
      <c r="C750" s="1"/>
      <c r="D750" s="1"/>
      <c r="E750" s="1"/>
      <c r="F750" s="1"/>
      <c r="G750" s="1"/>
    </row>
    <row r="751">
      <c r="C751" s="1"/>
      <c r="D751" s="1"/>
      <c r="E751" s="1"/>
      <c r="F751" s="1"/>
      <c r="G751" s="1"/>
    </row>
    <row r="752">
      <c r="C752" s="1"/>
      <c r="D752" s="1"/>
      <c r="E752" s="1"/>
      <c r="F752" s="1"/>
      <c r="G752" s="1"/>
    </row>
    <row r="753">
      <c r="C753" s="1"/>
      <c r="D753" s="1"/>
      <c r="E753" s="1"/>
      <c r="F753" s="1"/>
      <c r="G753" s="1"/>
    </row>
    <row r="754">
      <c r="C754" s="1"/>
      <c r="D754" s="1"/>
      <c r="E754" s="1"/>
      <c r="F754" s="1"/>
      <c r="G754" s="1"/>
    </row>
    <row r="755">
      <c r="C755" s="1"/>
      <c r="D755" s="1"/>
      <c r="E755" s="1"/>
      <c r="F755" s="1"/>
      <c r="G755" s="1"/>
    </row>
    <row r="756">
      <c r="C756" s="1"/>
      <c r="D756" s="1"/>
      <c r="E756" s="1"/>
      <c r="F756" s="1"/>
      <c r="G756" s="1"/>
    </row>
    <row r="757">
      <c r="C757" s="1"/>
      <c r="D757" s="1"/>
      <c r="E757" s="1"/>
      <c r="F757" s="1"/>
      <c r="G757" s="1"/>
    </row>
    <row r="758">
      <c r="C758" s="1"/>
      <c r="D758" s="1"/>
      <c r="E758" s="1"/>
      <c r="F758" s="1"/>
      <c r="G758" s="1"/>
    </row>
    <row r="759">
      <c r="C759" s="1"/>
      <c r="D759" s="1"/>
      <c r="E759" s="1"/>
      <c r="F759" s="1"/>
      <c r="G759" s="1"/>
    </row>
    <row r="760">
      <c r="C760" s="1"/>
      <c r="D760" s="1"/>
      <c r="E760" s="1"/>
      <c r="F760" s="1"/>
      <c r="G760" s="1"/>
    </row>
    <row r="761">
      <c r="C761" s="1"/>
      <c r="D761" s="1"/>
      <c r="E761" s="1"/>
      <c r="F761" s="1"/>
      <c r="G761" s="1"/>
    </row>
    <row r="762">
      <c r="C762" s="1"/>
      <c r="D762" s="1"/>
      <c r="E762" s="1"/>
      <c r="F762" s="1"/>
      <c r="G762" s="1"/>
    </row>
    <row r="763">
      <c r="C763" s="1"/>
      <c r="D763" s="1"/>
      <c r="E763" s="1"/>
      <c r="F763" s="1"/>
      <c r="G763" s="1"/>
    </row>
    <row r="764">
      <c r="C764" s="1"/>
      <c r="D764" s="1"/>
      <c r="E764" s="1"/>
      <c r="F764" s="1"/>
      <c r="G764" s="1"/>
    </row>
    <row r="765">
      <c r="C765" s="1"/>
      <c r="D765" s="1"/>
      <c r="E765" s="1"/>
      <c r="F765" s="1"/>
      <c r="G765" s="1"/>
    </row>
    <row r="766">
      <c r="C766" s="1"/>
      <c r="D766" s="1"/>
      <c r="E766" s="1"/>
      <c r="F766" s="1"/>
      <c r="G766" s="1"/>
    </row>
    <row r="767">
      <c r="C767" s="1"/>
      <c r="D767" s="1"/>
      <c r="E767" s="1"/>
      <c r="F767" s="1"/>
      <c r="G767" s="1"/>
    </row>
    <row r="768">
      <c r="C768" s="1"/>
      <c r="D768" s="1"/>
      <c r="E768" s="1"/>
      <c r="F768" s="1"/>
      <c r="G768" s="1"/>
    </row>
    <row r="769">
      <c r="C769" s="1"/>
      <c r="D769" s="1"/>
      <c r="E769" s="1"/>
      <c r="F769" s="1"/>
      <c r="G769" s="1"/>
    </row>
    <row r="770">
      <c r="C770" s="1"/>
      <c r="D770" s="1"/>
      <c r="E770" s="1"/>
      <c r="F770" s="1"/>
      <c r="G770" s="1"/>
    </row>
    <row r="771">
      <c r="C771" s="1"/>
      <c r="D771" s="1"/>
      <c r="E771" s="1"/>
      <c r="F771" s="1"/>
      <c r="G771" s="1"/>
    </row>
    <row r="772">
      <c r="C772" s="1"/>
      <c r="D772" s="1"/>
      <c r="E772" s="1"/>
      <c r="F772" s="1"/>
      <c r="G772" s="1"/>
    </row>
    <row r="773">
      <c r="C773" s="1"/>
      <c r="D773" s="1"/>
      <c r="E773" s="1"/>
      <c r="F773" s="1"/>
      <c r="G773" s="1"/>
    </row>
    <row r="774">
      <c r="C774" s="1"/>
      <c r="D774" s="1"/>
      <c r="E774" s="1"/>
      <c r="F774" s="1"/>
      <c r="G774" s="1"/>
    </row>
    <row r="775">
      <c r="C775" s="1"/>
      <c r="D775" s="1"/>
      <c r="E775" s="1"/>
      <c r="F775" s="1"/>
      <c r="G775" s="1"/>
    </row>
    <row r="776">
      <c r="C776" s="1"/>
      <c r="D776" s="1"/>
      <c r="E776" s="1"/>
      <c r="F776" s="1"/>
      <c r="G776" s="1"/>
    </row>
    <row r="777">
      <c r="C777" s="1"/>
      <c r="D777" s="1"/>
      <c r="E777" s="1"/>
      <c r="F777" s="1"/>
      <c r="G777" s="1"/>
    </row>
    <row r="778">
      <c r="C778" s="1"/>
      <c r="D778" s="1"/>
      <c r="E778" s="1"/>
      <c r="F778" s="1"/>
      <c r="G778" s="1"/>
    </row>
    <row r="779">
      <c r="C779" s="1"/>
      <c r="D779" s="1"/>
      <c r="E779" s="1"/>
      <c r="F779" s="1"/>
      <c r="G779" s="1"/>
    </row>
    <row r="780">
      <c r="C780" s="1"/>
      <c r="D780" s="1"/>
      <c r="E780" s="1"/>
      <c r="F780" s="1"/>
      <c r="G780" s="1"/>
    </row>
    <row r="781">
      <c r="C781" s="1"/>
      <c r="D781" s="1"/>
      <c r="E781" s="1"/>
      <c r="F781" s="1"/>
      <c r="G781" s="1"/>
    </row>
    <row r="782">
      <c r="C782" s="1"/>
      <c r="D782" s="1"/>
      <c r="E782" s="1"/>
      <c r="F782" s="1"/>
      <c r="G782" s="1"/>
    </row>
    <row r="783">
      <c r="C783" s="1"/>
      <c r="D783" s="1"/>
      <c r="E783" s="1"/>
      <c r="F783" s="1"/>
      <c r="G783" s="1"/>
    </row>
    <row r="784">
      <c r="C784" s="1"/>
      <c r="D784" s="1"/>
      <c r="E784" s="1"/>
      <c r="F784" s="1"/>
      <c r="G784" s="1"/>
    </row>
    <row r="785">
      <c r="C785" s="1"/>
      <c r="D785" s="1"/>
      <c r="E785" s="1"/>
      <c r="F785" s="1"/>
      <c r="G785" s="1"/>
    </row>
    <row r="786">
      <c r="C786" s="1"/>
      <c r="D786" s="1"/>
      <c r="E786" s="1"/>
      <c r="F786" s="1"/>
      <c r="G786" s="1"/>
    </row>
    <row r="787">
      <c r="C787" s="1"/>
      <c r="D787" s="1"/>
      <c r="E787" s="1"/>
      <c r="F787" s="1"/>
      <c r="G787" s="1"/>
    </row>
    <row r="788">
      <c r="C788" s="1"/>
      <c r="D788" s="1"/>
      <c r="E788" s="1"/>
      <c r="F788" s="1"/>
      <c r="G788" s="1"/>
    </row>
    <row r="789">
      <c r="C789" s="1"/>
      <c r="D789" s="1"/>
      <c r="E789" s="1"/>
      <c r="F789" s="1"/>
      <c r="G789" s="1"/>
    </row>
    <row r="790">
      <c r="C790" s="1"/>
      <c r="D790" s="1"/>
      <c r="E790" s="1"/>
      <c r="F790" s="1"/>
      <c r="G790" s="1"/>
    </row>
    <row r="791">
      <c r="C791" s="1"/>
      <c r="D791" s="1"/>
      <c r="E791" s="1"/>
      <c r="F791" s="1"/>
      <c r="G791" s="1"/>
    </row>
    <row r="792">
      <c r="C792" s="1"/>
      <c r="D792" s="1"/>
      <c r="E792" s="1"/>
      <c r="F792" s="1"/>
      <c r="G792" s="1"/>
    </row>
    <row r="793">
      <c r="C793" s="1"/>
      <c r="D793" s="1"/>
      <c r="E793" s="1"/>
      <c r="F793" s="1"/>
      <c r="G793" s="1"/>
    </row>
    <row r="794">
      <c r="C794" s="1"/>
      <c r="D794" s="1"/>
      <c r="E794" s="1"/>
      <c r="F794" s="1"/>
      <c r="G794" s="1"/>
    </row>
    <row r="795">
      <c r="C795" s="1"/>
      <c r="D795" s="1"/>
      <c r="E795" s="1"/>
      <c r="F795" s="1"/>
      <c r="G795" s="1"/>
    </row>
    <row r="796">
      <c r="C796" s="1"/>
      <c r="D796" s="1"/>
      <c r="E796" s="1"/>
      <c r="F796" s="1"/>
      <c r="G796" s="1"/>
    </row>
    <row r="797">
      <c r="C797" s="1"/>
      <c r="D797" s="1"/>
      <c r="E797" s="1"/>
      <c r="F797" s="1"/>
      <c r="G797" s="1"/>
    </row>
    <row r="798">
      <c r="C798" s="1"/>
      <c r="D798" s="1"/>
      <c r="E798" s="1"/>
      <c r="F798" s="1"/>
      <c r="G798" s="1"/>
    </row>
    <row r="799">
      <c r="C799" s="1"/>
      <c r="D799" s="1"/>
      <c r="E799" s="1"/>
      <c r="F799" s="1"/>
      <c r="G799" s="1"/>
    </row>
    <row r="800">
      <c r="C800" s="1"/>
      <c r="D800" s="1"/>
      <c r="E800" s="1"/>
      <c r="F800" s="1"/>
      <c r="G800" s="1"/>
    </row>
    <row r="801">
      <c r="C801" s="1"/>
      <c r="D801" s="1"/>
      <c r="E801" s="1"/>
      <c r="F801" s="1"/>
      <c r="G801" s="1"/>
    </row>
    <row r="802">
      <c r="C802" s="1"/>
      <c r="D802" s="1"/>
      <c r="E802" s="1"/>
      <c r="F802" s="1"/>
      <c r="G802" s="1"/>
    </row>
    <row r="803">
      <c r="C803" s="1"/>
      <c r="D803" s="1"/>
      <c r="E803" s="1"/>
      <c r="F803" s="1"/>
      <c r="G803" s="1"/>
    </row>
    <row r="804">
      <c r="C804" s="1"/>
      <c r="D804" s="1"/>
      <c r="E804" s="1"/>
      <c r="F804" s="1"/>
      <c r="G804" s="1"/>
    </row>
    <row r="805">
      <c r="C805" s="1"/>
      <c r="D805" s="1"/>
      <c r="E805" s="1"/>
      <c r="F805" s="1"/>
      <c r="G805" s="1"/>
    </row>
    <row r="806">
      <c r="C806" s="1"/>
      <c r="D806" s="1"/>
      <c r="E806" s="1"/>
      <c r="F806" s="1"/>
      <c r="G806" s="1"/>
    </row>
    <row r="807">
      <c r="C807" s="1"/>
      <c r="D807" s="1"/>
      <c r="E807" s="1"/>
      <c r="F807" s="1"/>
      <c r="G807" s="1"/>
    </row>
    <row r="808">
      <c r="C808" s="1"/>
      <c r="D808" s="1"/>
      <c r="E808" s="1"/>
      <c r="F808" s="1"/>
      <c r="G808" s="1"/>
    </row>
    <row r="809">
      <c r="C809" s="1"/>
      <c r="D809" s="1"/>
      <c r="E809" s="1"/>
      <c r="F809" s="1"/>
      <c r="G809" s="1"/>
    </row>
    <row r="810">
      <c r="C810" s="1"/>
      <c r="D810" s="1"/>
      <c r="E810" s="1"/>
      <c r="F810" s="1"/>
      <c r="G810" s="1"/>
    </row>
    <row r="811">
      <c r="C811" s="1"/>
      <c r="D811" s="1"/>
      <c r="E811" s="1"/>
      <c r="F811" s="1"/>
      <c r="G811" s="1"/>
    </row>
    <row r="812">
      <c r="C812" s="1"/>
      <c r="D812" s="1"/>
      <c r="E812" s="1"/>
      <c r="F812" s="1"/>
      <c r="G812" s="1"/>
    </row>
    <row r="813">
      <c r="C813" s="1"/>
      <c r="D813" s="1"/>
      <c r="E813" s="1"/>
      <c r="F813" s="1"/>
      <c r="G813" s="1"/>
    </row>
    <row r="814">
      <c r="C814" s="1"/>
      <c r="D814" s="1"/>
      <c r="E814" s="1"/>
      <c r="F814" s="1"/>
      <c r="G814" s="1"/>
    </row>
    <row r="815">
      <c r="C815" s="1"/>
      <c r="D815" s="1"/>
      <c r="E815" s="1"/>
      <c r="F815" s="1"/>
      <c r="G815" s="1"/>
    </row>
    <row r="816">
      <c r="C816" s="1"/>
      <c r="D816" s="1"/>
      <c r="E816" s="1"/>
      <c r="F816" s="1"/>
      <c r="G816" s="1"/>
    </row>
    <row r="817">
      <c r="C817" s="1"/>
      <c r="D817" s="1"/>
      <c r="E817" s="1"/>
      <c r="F817" s="1"/>
      <c r="G817" s="1"/>
    </row>
    <row r="818">
      <c r="C818" s="1"/>
      <c r="D818" s="1"/>
      <c r="E818" s="1"/>
      <c r="F818" s="1"/>
      <c r="G818" s="1"/>
    </row>
    <row r="819">
      <c r="C819" s="1"/>
      <c r="D819" s="1"/>
      <c r="E819" s="1"/>
      <c r="F819" s="1"/>
      <c r="G819" s="1"/>
    </row>
    <row r="820">
      <c r="C820" s="1"/>
      <c r="D820" s="1"/>
      <c r="E820" s="1"/>
      <c r="F820" s="1"/>
      <c r="G820" s="1"/>
    </row>
    <row r="821">
      <c r="C821" s="1"/>
      <c r="D821" s="1"/>
      <c r="E821" s="1"/>
      <c r="F821" s="1"/>
      <c r="G821" s="1"/>
    </row>
    <row r="822">
      <c r="C822" s="1"/>
      <c r="D822" s="1"/>
      <c r="E822" s="1"/>
      <c r="F822" s="1"/>
      <c r="G822" s="1"/>
    </row>
    <row r="823">
      <c r="C823" s="1"/>
      <c r="D823" s="1"/>
      <c r="E823" s="1"/>
      <c r="F823" s="1"/>
      <c r="G823" s="1"/>
    </row>
    <row r="824">
      <c r="C824" s="1"/>
      <c r="D824" s="1"/>
      <c r="E824" s="1"/>
      <c r="F824" s="1"/>
      <c r="G824" s="1"/>
    </row>
    <row r="825">
      <c r="C825" s="1"/>
      <c r="D825" s="1"/>
      <c r="E825" s="1"/>
      <c r="F825" s="1"/>
      <c r="G825" s="1"/>
    </row>
    <row r="826">
      <c r="C826" s="1"/>
      <c r="D826" s="1"/>
      <c r="E826" s="1"/>
      <c r="F826" s="1"/>
      <c r="G826" s="1"/>
    </row>
    <row r="827">
      <c r="C827" s="1"/>
      <c r="D827" s="1"/>
      <c r="E827" s="1"/>
      <c r="F827" s="1"/>
      <c r="G827" s="1"/>
    </row>
    <row r="828">
      <c r="C828" s="1"/>
      <c r="D828" s="1"/>
      <c r="E828" s="1"/>
      <c r="F828" s="1"/>
      <c r="G828" s="1"/>
    </row>
    <row r="829">
      <c r="C829" s="1"/>
      <c r="D829" s="1"/>
      <c r="E829" s="1"/>
      <c r="F829" s="1"/>
      <c r="G829" s="1"/>
    </row>
    <row r="830">
      <c r="C830" s="1"/>
      <c r="D830" s="1"/>
      <c r="E830" s="1"/>
      <c r="F830" s="1"/>
      <c r="G830" s="1"/>
    </row>
    <row r="831">
      <c r="C831" s="1"/>
      <c r="D831" s="1"/>
      <c r="E831" s="1"/>
      <c r="F831" s="1"/>
      <c r="G831" s="1"/>
    </row>
    <row r="832">
      <c r="C832" s="1"/>
      <c r="D832" s="1"/>
      <c r="E832" s="1"/>
      <c r="F832" s="1"/>
      <c r="G832" s="1"/>
    </row>
    <row r="833">
      <c r="C833" s="1"/>
      <c r="D833" s="1"/>
      <c r="E833" s="1"/>
      <c r="F833" s="1"/>
      <c r="G833" s="1"/>
    </row>
    <row r="834">
      <c r="C834" s="1"/>
      <c r="D834" s="1"/>
      <c r="E834" s="1"/>
      <c r="F834" s="1"/>
      <c r="G834" s="1"/>
    </row>
    <row r="835">
      <c r="C835" s="1"/>
      <c r="D835" s="1"/>
      <c r="E835" s="1"/>
      <c r="F835" s="1"/>
      <c r="G835" s="1"/>
    </row>
    <row r="836">
      <c r="C836" s="1"/>
      <c r="D836" s="1"/>
      <c r="E836" s="1"/>
      <c r="F836" s="1"/>
      <c r="G836" s="1"/>
    </row>
    <row r="837">
      <c r="C837" s="1"/>
      <c r="D837" s="1"/>
      <c r="E837" s="1"/>
      <c r="F837" s="1"/>
      <c r="G837" s="1"/>
    </row>
    <row r="838">
      <c r="C838" s="1"/>
      <c r="D838" s="1"/>
      <c r="E838" s="1"/>
      <c r="F838" s="1"/>
      <c r="G838" s="1"/>
    </row>
    <row r="839">
      <c r="C839" s="1"/>
      <c r="D839" s="1"/>
      <c r="E839" s="1"/>
      <c r="F839" s="1"/>
      <c r="G839" s="1"/>
    </row>
    <row r="840">
      <c r="C840" s="1"/>
      <c r="D840" s="1"/>
      <c r="E840" s="1"/>
      <c r="F840" s="1"/>
      <c r="G840" s="1"/>
    </row>
    <row r="841">
      <c r="C841" s="1"/>
      <c r="D841" s="1"/>
      <c r="E841" s="1"/>
      <c r="F841" s="1"/>
      <c r="G841" s="1"/>
    </row>
    <row r="842">
      <c r="C842" s="1"/>
      <c r="D842" s="1"/>
      <c r="E842" s="1"/>
      <c r="F842" s="1"/>
      <c r="G842" s="1"/>
    </row>
    <row r="843">
      <c r="C843" s="1"/>
      <c r="D843" s="1"/>
      <c r="E843" s="1"/>
      <c r="F843" s="1"/>
      <c r="G843" s="1"/>
    </row>
    <row r="844">
      <c r="C844" s="1"/>
      <c r="D844" s="1"/>
      <c r="E844" s="1"/>
      <c r="F844" s="1"/>
      <c r="G844" s="1"/>
    </row>
    <row r="845">
      <c r="C845" s="1"/>
      <c r="D845" s="1"/>
      <c r="E845" s="1"/>
      <c r="F845" s="1"/>
      <c r="G845" s="1"/>
    </row>
    <row r="846">
      <c r="C846" s="1"/>
      <c r="D846" s="1"/>
      <c r="E846" s="1"/>
      <c r="F846" s="1"/>
      <c r="G846" s="1"/>
    </row>
    <row r="847">
      <c r="C847" s="1"/>
      <c r="D847" s="1"/>
      <c r="E847" s="1"/>
      <c r="F847" s="1"/>
      <c r="G847" s="1"/>
    </row>
    <row r="848">
      <c r="C848" s="1"/>
      <c r="D848" s="1"/>
      <c r="E848" s="1"/>
      <c r="F848" s="1"/>
      <c r="G848" s="1"/>
    </row>
    <row r="849">
      <c r="C849" s="1"/>
      <c r="D849" s="1"/>
      <c r="E849" s="1"/>
      <c r="F849" s="1"/>
      <c r="G849" s="1"/>
    </row>
    <row r="850">
      <c r="C850" s="1"/>
      <c r="D850" s="1"/>
      <c r="E850" s="1"/>
      <c r="F850" s="1"/>
      <c r="G850" s="1"/>
    </row>
    <row r="851">
      <c r="C851" s="1"/>
      <c r="D851" s="1"/>
      <c r="E851" s="1"/>
      <c r="F851" s="1"/>
      <c r="G851" s="1"/>
    </row>
    <row r="852">
      <c r="C852" s="1"/>
      <c r="D852" s="1"/>
      <c r="E852" s="1"/>
      <c r="F852" s="1"/>
      <c r="G852" s="1"/>
    </row>
    <row r="853">
      <c r="C853" s="1"/>
      <c r="D853" s="1"/>
      <c r="E853" s="1"/>
      <c r="F853" s="1"/>
      <c r="G853" s="1"/>
    </row>
    <row r="854">
      <c r="C854" s="1"/>
      <c r="D854" s="1"/>
      <c r="E854" s="1"/>
      <c r="F854" s="1"/>
      <c r="G854" s="1"/>
    </row>
    <row r="855">
      <c r="C855" s="1"/>
      <c r="D855" s="1"/>
      <c r="E855" s="1"/>
      <c r="F855" s="1"/>
      <c r="G855" s="1"/>
    </row>
    <row r="856">
      <c r="C856" s="1"/>
      <c r="D856" s="1"/>
      <c r="E856" s="1"/>
      <c r="F856" s="1"/>
      <c r="G856" s="1"/>
    </row>
    <row r="857">
      <c r="C857" s="1"/>
      <c r="D857" s="1"/>
      <c r="E857" s="1"/>
      <c r="F857" s="1"/>
      <c r="G857" s="1"/>
    </row>
    <row r="858">
      <c r="C858" s="1"/>
      <c r="D858" s="1"/>
      <c r="E858" s="1"/>
      <c r="F858" s="1"/>
      <c r="G858" s="1"/>
    </row>
    <row r="859">
      <c r="C859" s="1"/>
      <c r="D859" s="1"/>
      <c r="E859" s="1"/>
      <c r="F859" s="1"/>
      <c r="G859" s="1"/>
    </row>
    <row r="860">
      <c r="C860" s="1"/>
      <c r="D860" s="1"/>
      <c r="E860" s="1"/>
      <c r="F860" s="1"/>
      <c r="G860" s="1"/>
    </row>
    <row r="861">
      <c r="C861" s="1"/>
      <c r="D861" s="1"/>
      <c r="E861" s="1"/>
      <c r="F861" s="1"/>
      <c r="G861" s="1"/>
    </row>
    <row r="862">
      <c r="C862" s="1"/>
      <c r="D862" s="1"/>
      <c r="E862" s="1"/>
      <c r="F862" s="1"/>
      <c r="G862" s="1"/>
    </row>
    <row r="863">
      <c r="C863" s="1"/>
      <c r="D863" s="1"/>
      <c r="E863" s="1"/>
      <c r="F863" s="1"/>
      <c r="G863" s="1"/>
    </row>
    <row r="864">
      <c r="C864" s="1"/>
      <c r="D864" s="1"/>
      <c r="E864" s="1"/>
      <c r="F864" s="1"/>
      <c r="G864" s="1"/>
    </row>
    <row r="865">
      <c r="C865" s="1"/>
      <c r="D865" s="1"/>
      <c r="E865" s="1"/>
      <c r="F865" s="1"/>
      <c r="G865" s="1"/>
    </row>
    <row r="866">
      <c r="C866" s="1"/>
      <c r="D866" s="1"/>
      <c r="E866" s="1"/>
      <c r="F866" s="1"/>
      <c r="G866" s="1"/>
    </row>
    <row r="867">
      <c r="C867" s="1"/>
      <c r="D867" s="1"/>
      <c r="E867" s="1"/>
      <c r="F867" s="1"/>
      <c r="G867" s="1"/>
    </row>
    <row r="868">
      <c r="C868" s="1"/>
      <c r="D868" s="1"/>
      <c r="E868" s="1"/>
      <c r="F868" s="1"/>
      <c r="G868" s="1"/>
    </row>
    <row r="869">
      <c r="C869" s="1"/>
      <c r="D869" s="1"/>
      <c r="E869" s="1"/>
      <c r="F869" s="1"/>
      <c r="G869" s="1"/>
    </row>
    <row r="870">
      <c r="C870" s="1"/>
      <c r="D870" s="1"/>
      <c r="E870" s="1"/>
      <c r="F870" s="1"/>
      <c r="G870" s="1"/>
    </row>
    <row r="871">
      <c r="C871" s="1"/>
      <c r="D871" s="1"/>
      <c r="E871" s="1"/>
      <c r="F871" s="1"/>
      <c r="G871" s="1"/>
    </row>
    <row r="872">
      <c r="C872" s="1"/>
      <c r="D872" s="1"/>
      <c r="E872" s="1"/>
      <c r="F872" s="1"/>
      <c r="G872" s="1"/>
    </row>
    <row r="873">
      <c r="C873" s="1"/>
      <c r="D873" s="1"/>
      <c r="E873" s="1"/>
      <c r="F873" s="1"/>
      <c r="G873" s="1"/>
    </row>
    <row r="874">
      <c r="C874" s="1"/>
      <c r="D874" s="1"/>
      <c r="E874" s="1"/>
      <c r="F874" s="1"/>
      <c r="G874" s="1"/>
    </row>
    <row r="875">
      <c r="C875" s="1"/>
      <c r="D875" s="1"/>
      <c r="E875" s="1"/>
      <c r="F875" s="1"/>
      <c r="G875" s="1"/>
    </row>
    <row r="876">
      <c r="C876" s="1"/>
      <c r="D876" s="1"/>
      <c r="E876" s="1"/>
      <c r="F876" s="1"/>
      <c r="G876" s="1"/>
    </row>
    <row r="877">
      <c r="C877" s="1"/>
      <c r="D877" s="1"/>
      <c r="E877" s="1"/>
      <c r="F877" s="1"/>
      <c r="G877" s="1"/>
    </row>
    <row r="878">
      <c r="C878" s="1"/>
      <c r="D878" s="1"/>
      <c r="E878" s="1"/>
      <c r="F878" s="1"/>
      <c r="G878" s="1"/>
    </row>
    <row r="879">
      <c r="C879" s="1"/>
      <c r="D879" s="1"/>
      <c r="E879" s="1"/>
      <c r="F879" s="1"/>
      <c r="G879" s="1"/>
    </row>
    <row r="880">
      <c r="C880" s="1"/>
      <c r="D880" s="1"/>
      <c r="E880" s="1"/>
      <c r="F880" s="1"/>
      <c r="G880" s="1"/>
    </row>
    <row r="881">
      <c r="C881" s="1"/>
      <c r="D881" s="1"/>
      <c r="E881" s="1"/>
      <c r="F881" s="1"/>
      <c r="G881" s="1"/>
    </row>
    <row r="882">
      <c r="C882" s="1"/>
      <c r="D882" s="1"/>
      <c r="E882" s="1"/>
      <c r="F882" s="1"/>
      <c r="G882" s="1"/>
    </row>
    <row r="883">
      <c r="C883" s="1"/>
      <c r="D883" s="1"/>
      <c r="E883" s="1"/>
      <c r="F883" s="1"/>
      <c r="G883" s="1"/>
    </row>
    <row r="884">
      <c r="C884" s="1"/>
      <c r="D884" s="1"/>
      <c r="E884" s="1"/>
      <c r="F884" s="1"/>
      <c r="G884" s="1"/>
    </row>
    <row r="885">
      <c r="C885" s="1"/>
      <c r="D885" s="1"/>
      <c r="E885" s="1"/>
      <c r="F885" s="1"/>
      <c r="G885" s="1"/>
    </row>
    <row r="886">
      <c r="C886" s="1"/>
      <c r="D886" s="1"/>
      <c r="E886" s="1"/>
      <c r="F886" s="1"/>
      <c r="G886" s="1"/>
    </row>
    <row r="887">
      <c r="C887" s="1"/>
      <c r="D887" s="1"/>
      <c r="E887" s="1"/>
      <c r="F887" s="1"/>
      <c r="G887" s="1"/>
    </row>
    <row r="888">
      <c r="C888" s="1"/>
      <c r="D888" s="1"/>
      <c r="E888" s="1"/>
      <c r="F888" s="1"/>
      <c r="G888" s="1"/>
    </row>
    <row r="889">
      <c r="C889" s="1"/>
      <c r="D889" s="1"/>
      <c r="E889" s="1"/>
      <c r="F889" s="1"/>
      <c r="G889" s="1"/>
    </row>
    <row r="890">
      <c r="C890" s="1"/>
      <c r="D890" s="1"/>
      <c r="E890" s="1"/>
      <c r="F890" s="1"/>
      <c r="G890" s="1"/>
    </row>
    <row r="891">
      <c r="C891" s="1"/>
      <c r="D891" s="1"/>
      <c r="E891" s="1"/>
      <c r="F891" s="1"/>
      <c r="G891" s="1"/>
    </row>
    <row r="892">
      <c r="C892" s="1"/>
      <c r="D892" s="1"/>
      <c r="E892" s="1"/>
      <c r="F892" s="1"/>
      <c r="G892" s="1"/>
    </row>
    <row r="893">
      <c r="C893" s="1"/>
      <c r="D893" s="1"/>
      <c r="E893" s="1"/>
      <c r="F893" s="1"/>
      <c r="G893" s="1"/>
    </row>
    <row r="894">
      <c r="C894" s="1"/>
      <c r="D894" s="1"/>
      <c r="E894" s="1"/>
      <c r="F894" s="1"/>
      <c r="G894" s="1"/>
    </row>
    <row r="895">
      <c r="C895" s="1"/>
      <c r="D895" s="1"/>
      <c r="E895" s="1"/>
      <c r="F895" s="1"/>
      <c r="G895" s="1"/>
    </row>
    <row r="896">
      <c r="C896" s="1"/>
      <c r="D896" s="1"/>
      <c r="E896" s="1"/>
      <c r="F896" s="1"/>
      <c r="G896" s="1"/>
    </row>
    <row r="897">
      <c r="C897" s="1"/>
      <c r="D897" s="1"/>
      <c r="E897" s="1"/>
      <c r="F897" s="1"/>
      <c r="G897" s="1"/>
    </row>
    <row r="898">
      <c r="C898" s="1"/>
      <c r="D898" s="1"/>
      <c r="E898" s="1"/>
      <c r="F898" s="1"/>
      <c r="G898" s="1"/>
    </row>
    <row r="899">
      <c r="C899" s="1"/>
      <c r="D899" s="1"/>
      <c r="E899" s="1"/>
      <c r="F899" s="1"/>
      <c r="G899" s="1"/>
    </row>
    <row r="900">
      <c r="C900" s="1"/>
      <c r="D900" s="1"/>
      <c r="E900" s="1"/>
      <c r="F900" s="1"/>
      <c r="G900" s="1"/>
    </row>
    <row r="901">
      <c r="C901" s="1"/>
      <c r="D901" s="1"/>
      <c r="E901" s="1"/>
      <c r="F901" s="1"/>
      <c r="G901" s="1"/>
    </row>
    <row r="902">
      <c r="C902" s="1"/>
      <c r="D902" s="1"/>
      <c r="E902" s="1"/>
      <c r="F902" s="1"/>
      <c r="G902" s="1"/>
    </row>
    <row r="903">
      <c r="C903" s="1"/>
      <c r="D903" s="1"/>
      <c r="E903" s="1"/>
      <c r="F903" s="1"/>
      <c r="G903" s="1"/>
    </row>
    <row r="904">
      <c r="C904" s="1"/>
      <c r="D904" s="1"/>
      <c r="E904" s="1"/>
      <c r="F904" s="1"/>
      <c r="G904" s="1"/>
    </row>
    <row r="905">
      <c r="C905" s="1"/>
      <c r="D905" s="1"/>
      <c r="E905" s="1"/>
      <c r="F905" s="1"/>
      <c r="G905" s="1"/>
    </row>
    <row r="906">
      <c r="C906" s="1"/>
      <c r="D906" s="1"/>
      <c r="E906" s="1"/>
      <c r="F906" s="1"/>
      <c r="G906" s="1"/>
    </row>
    <row r="907">
      <c r="C907" s="1"/>
      <c r="D907" s="1"/>
      <c r="E907" s="1"/>
      <c r="F907" s="1"/>
      <c r="G907" s="1"/>
    </row>
    <row r="908">
      <c r="C908" s="1"/>
      <c r="D908" s="1"/>
      <c r="E908" s="1"/>
      <c r="F908" s="1"/>
      <c r="G908" s="1"/>
    </row>
    <row r="909">
      <c r="C909" s="1"/>
      <c r="D909" s="1"/>
      <c r="E909" s="1"/>
      <c r="F909" s="1"/>
      <c r="G909" s="1"/>
    </row>
    <row r="910">
      <c r="C910" s="1"/>
      <c r="D910" s="1"/>
      <c r="E910" s="1"/>
      <c r="F910" s="1"/>
      <c r="G910" s="1"/>
    </row>
    <row r="911">
      <c r="C911" s="1"/>
      <c r="D911" s="1"/>
      <c r="E911" s="1"/>
      <c r="F911" s="1"/>
      <c r="G911" s="1"/>
    </row>
    <row r="912">
      <c r="C912" s="1"/>
      <c r="D912" s="1"/>
      <c r="E912" s="1"/>
      <c r="F912" s="1"/>
      <c r="G912" s="1"/>
    </row>
    <row r="913">
      <c r="C913" s="1"/>
      <c r="D913" s="1"/>
      <c r="E913" s="1"/>
      <c r="F913" s="1"/>
      <c r="G913" s="1"/>
    </row>
    <row r="914">
      <c r="C914" s="1"/>
      <c r="D914" s="1"/>
      <c r="E914" s="1"/>
      <c r="F914" s="1"/>
      <c r="G914" s="1"/>
    </row>
    <row r="915">
      <c r="C915" s="1"/>
      <c r="D915" s="1"/>
      <c r="E915" s="1"/>
      <c r="F915" s="1"/>
      <c r="G915" s="1"/>
    </row>
    <row r="916">
      <c r="C916" s="1"/>
      <c r="D916" s="1"/>
      <c r="E916" s="1"/>
      <c r="F916" s="1"/>
      <c r="G916" s="1"/>
    </row>
    <row r="917">
      <c r="C917" s="1"/>
      <c r="D917" s="1"/>
      <c r="E917" s="1"/>
      <c r="F917" s="1"/>
      <c r="G917" s="1"/>
    </row>
    <row r="918">
      <c r="C918" s="1"/>
      <c r="D918" s="1"/>
      <c r="E918" s="1"/>
      <c r="F918" s="1"/>
      <c r="G918" s="1"/>
    </row>
    <row r="919">
      <c r="C919" s="1"/>
      <c r="D919" s="1"/>
      <c r="E919" s="1"/>
      <c r="F919" s="1"/>
      <c r="G919" s="1"/>
    </row>
    <row r="920">
      <c r="C920" s="1"/>
      <c r="D920" s="1"/>
      <c r="E920" s="1"/>
      <c r="F920" s="1"/>
      <c r="G920" s="1"/>
    </row>
    <row r="921">
      <c r="C921" s="1"/>
      <c r="D921" s="1"/>
      <c r="E921" s="1"/>
      <c r="F921" s="1"/>
      <c r="G921" s="1"/>
    </row>
    <row r="922">
      <c r="C922" s="1"/>
      <c r="D922" s="1"/>
      <c r="E922" s="1"/>
      <c r="F922" s="1"/>
      <c r="G922" s="1"/>
    </row>
    <row r="923">
      <c r="C923" s="1"/>
      <c r="D923" s="1"/>
      <c r="E923" s="1"/>
      <c r="F923" s="1"/>
      <c r="G923" s="1"/>
    </row>
    <row r="924">
      <c r="C924" s="1"/>
      <c r="D924" s="1"/>
      <c r="E924" s="1"/>
      <c r="F924" s="1"/>
      <c r="G924" s="1"/>
    </row>
    <row r="925">
      <c r="C925" s="1"/>
      <c r="D925" s="1"/>
      <c r="E925" s="1"/>
      <c r="F925" s="1"/>
      <c r="G925" s="1"/>
    </row>
    <row r="926">
      <c r="C926" s="1"/>
      <c r="D926" s="1"/>
      <c r="E926" s="1"/>
      <c r="F926" s="1"/>
      <c r="G926" s="1"/>
    </row>
    <row r="927">
      <c r="C927" s="1"/>
      <c r="D927" s="1"/>
      <c r="E927" s="1"/>
      <c r="F927" s="1"/>
      <c r="G927" s="1"/>
    </row>
    <row r="928">
      <c r="C928" s="1"/>
      <c r="D928" s="1"/>
      <c r="E928" s="1"/>
      <c r="F928" s="1"/>
      <c r="G928" s="1"/>
    </row>
    <row r="929">
      <c r="C929" s="1"/>
      <c r="D929" s="1"/>
      <c r="E929" s="1"/>
      <c r="F929" s="1"/>
      <c r="G929" s="1"/>
    </row>
    <row r="930">
      <c r="C930" s="1"/>
      <c r="D930" s="1"/>
      <c r="E930" s="1"/>
      <c r="F930" s="1"/>
      <c r="G930" s="1"/>
    </row>
    <row r="931">
      <c r="C931" s="1"/>
      <c r="D931" s="1"/>
      <c r="E931" s="1"/>
      <c r="F931" s="1"/>
      <c r="G931" s="1"/>
    </row>
    <row r="932">
      <c r="C932" s="1"/>
      <c r="D932" s="1"/>
      <c r="E932" s="1"/>
      <c r="F932" s="1"/>
      <c r="G932" s="1"/>
    </row>
    <row r="933">
      <c r="C933" s="1"/>
      <c r="D933" s="1"/>
      <c r="E933" s="1"/>
      <c r="F933" s="1"/>
      <c r="G933" s="1"/>
    </row>
    <row r="934">
      <c r="C934" s="1"/>
      <c r="D934" s="1"/>
      <c r="E934" s="1"/>
      <c r="F934" s="1"/>
      <c r="G934" s="1"/>
    </row>
    <row r="935">
      <c r="C935" s="1"/>
      <c r="D935" s="1"/>
      <c r="E935" s="1"/>
      <c r="F935" s="1"/>
      <c r="G935" s="1"/>
    </row>
    <row r="936">
      <c r="C936" s="1"/>
      <c r="D936" s="1"/>
      <c r="E936" s="1"/>
      <c r="F936" s="1"/>
      <c r="G936" s="1"/>
    </row>
    <row r="937">
      <c r="C937" s="1"/>
      <c r="D937" s="1"/>
      <c r="E937" s="1"/>
      <c r="F937" s="1"/>
      <c r="G937" s="1"/>
    </row>
    <row r="938">
      <c r="C938" s="1"/>
      <c r="D938" s="1"/>
      <c r="E938" s="1"/>
      <c r="F938" s="1"/>
      <c r="G938" s="1"/>
    </row>
    <row r="939">
      <c r="C939" s="1"/>
      <c r="D939" s="1"/>
      <c r="E939" s="1"/>
      <c r="F939" s="1"/>
      <c r="G939" s="1"/>
    </row>
    <row r="940">
      <c r="C940" s="1"/>
      <c r="D940" s="1"/>
      <c r="E940" s="1"/>
      <c r="F940" s="1"/>
      <c r="G940" s="1"/>
    </row>
    <row r="941">
      <c r="C941" s="1"/>
      <c r="D941" s="1"/>
      <c r="E941" s="1"/>
      <c r="F941" s="1"/>
      <c r="G941" s="1"/>
    </row>
    <row r="942">
      <c r="C942" s="1"/>
      <c r="D942" s="1"/>
      <c r="E942" s="1"/>
      <c r="F942" s="1"/>
      <c r="G942" s="1"/>
    </row>
    <row r="943">
      <c r="C943" s="1"/>
      <c r="D943" s="1"/>
      <c r="E943" s="1"/>
      <c r="F943" s="1"/>
      <c r="G943" s="1"/>
    </row>
    <row r="944">
      <c r="C944" s="1"/>
      <c r="D944" s="1"/>
      <c r="E944" s="1"/>
      <c r="F944" s="1"/>
      <c r="G944" s="1"/>
    </row>
    <row r="945">
      <c r="C945" s="1"/>
      <c r="D945" s="1"/>
      <c r="E945" s="1"/>
      <c r="F945" s="1"/>
      <c r="G945" s="1"/>
    </row>
    <row r="946">
      <c r="C946" s="1"/>
      <c r="D946" s="1"/>
      <c r="E946" s="1"/>
      <c r="F946" s="1"/>
      <c r="G946" s="1"/>
    </row>
    <row r="947">
      <c r="C947" s="1"/>
      <c r="D947" s="1"/>
      <c r="E947" s="1"/>
      <c r="F947" s="1"/>
      <c r="G947" s="1"/>
    </row>
    <row r="948">
      <c r="C948" s="1"/>
      <c r="D948" s="1"/>
      <c r="E948" s="1"/>
      <c r="F948" s="1"/>
      <c r="G948" s="1"/>
    </row>
    <row r="949">
      <c r="C949" s="1"/>
      <c r="D949" s="1"/>
      <c r="E949" s="1"/>
      <c r="F949" s="1"/>
      <c r="G949" s="1"/>
    </row>
    <row r="950">
      <c r="C950" s="1"/>
      <c r="D950" s="1"/>
      <c r="E950" s="1"/>
      <c r="F950" s="1"/>
      <c r="G950" s="1"/>
    </row>
    <row r="951">
      <c r="C951" s="1"/>
      <c r="D951" s="1"/>
      <c r="E951" s="1"/>
      <c r="F951" s="1"/>
      <c r="G951" s="1"/>
    </row>
    <row r="952">
      <c r="C952" s="1"/>
      <c r="D952" s="1"/>
      <c r="E952" s="1"/>
      <c r="F952" s="1"/>
      <c r="G952" s="1"/>
    </row>
    <row r="953">
      <c r="C953" s="1"/>
      <c r="D953" s="1"/>
      <c r="E953" s="1"/>
      <c r="F953" s="1"/>
      <c r="G953" s="1"/>
    </row>
    <row r="954">
      <c r="C954" s="1"/>
      <c r="D954" s="1"/>
      <c r="E954" s="1"/>
      <c r="F954" s="1"/>
      <c r="G954" s="1"/>
    </row>
    <row r="955">
      <c r="C955" s="1"/>
      <c r="D955" s="1"/>
      <c r="E955" s="1"/>
      <c r="F955" s="1"/>
      <c r="G955" s="1"/>
    </row>
    <row r="956">
      <c r="C956" s="1"/>
      <c r="D956" s="1"/>
      <c r="E956" s="1"/>
      <c r="F956" s="1"/>
      <c r="G956" s="1"/>
    </row>
    <row r="957">
      <c r="C957" s="1"/>
      <c r="D957" s="1"/>
      <c r="E957" s="1"/>
      <c r="F957" s="1"/>
      <c r="G957" s="1"/>
    </row>
    <row r="958">
      <c r="C958" s="1"/>
      <c r="D958" s="1"/>
      <c r="E958" s="1"/>
      <c r="F958" s="1"/>
      <c r="G958" s="1"/>
    </row>
    <row r="959">
      <c r="C959" s="1"/>
      <c r="D959" s="1"/>
      <c r="E959" s="1"/>
      <c r="F959" s="1"/>
      <c r="G959" s="1"/>
    </row>
    <row r="960">
      <c r="C960" s="1"/>
      <c r="D960" s="1"/>
      <c r="E960" s="1"/>
      <c r="F960" s="1"/>
      <c r="G960" s="1"/>
    </row>
    <row r="961">
      <c r="C961" s="1"/>
      <c r="D961" s="1"/>
      <c r="E961" s="1"/>
      <c r="F961" s="1"/>
      <c r="G961" s="1"/>
    </row>
    <row r="962">
      <c r="C962" s="1"/>
      <c r="D962" s="1"/>
      <c r="E962" s="1"/>
      <c r="F962" s="1"/>
      <c r="G962" s="1"/>
    </row>
    <row r="963">
      <c r="C963" s="1"/>
      <c r="D963" s="1"/>
      <c r="E963" s="1"/>
      <c r="F963" s="1"/>
      <c r="G963" s="1"/>
    </row>
    <row r="964">
      <c r="C964" s="1"/>
      <c r="D964" s="1"/>
      <c r="E964" s="1"/>
      <c r="F964" s="1"/>
      <c r="G964" s="1"/>
    </row>
    <row r="965">
      <c r="C965" s="1"/>
      <c r="D965" s="1"/>
      <c r="E965" s="1"/>
      <c r="F965" s="1"/>
      <c r="G965" s="1"/>
    </row>
    <row r="966">
      <c r="C966" s="1"/>
      <c r="D966" s="1"/>
      <c r="E966" s="1"/>
      <c r="F966" s="1"/>
      <c r="G966" s="1"/>
    </row>
    <row r="967">
      <c r="C967" s="1"/>
      <c r="D967" s="1"/>
      <c r="E967" s="1"/>
      <c r="F967" s="1"/>
      <c r="G967" s="1"/>
    </row>
    <row r="968">
      <c r="C968" s="1"/>
      <c r="D968" s="1"/>
      <c r="E968" s="1"/>
      <c r="F968" s="1"/>
      <c r="G968" s="1"/>
    </row>
    <row r="969">
      <c r="C969" s="1"/>
      <c r="D969" s="1"/>
      <c r="E969" s="1"/>
      <c r="F969" s="1"/>
      <c r="G969" s="1"/>
    </row>
    <row r="970">
      <c r="C970" s="1"/>
      <c r="D970" s="1"/>
      <c r="E970" s="1"/>
      <c r="F970" s="1"/>
      <c r="G970" s="1"/>
    </row>
    <row r="971">
      <c r="C971" s="1"/>
      <c r="D971" s="1"/>
      <c r="E971" s="1"/>
      <c r="F971" s="1"/>
      <c r="G971" s="1"/>
    </row>
    <row r="972">
      <c r="C972" s="1"/>
      <c r="D972" s="1"/>
      <c r="E972" s="1"/>
      <c r="F972" s="1"/>
      <c r="G972" s="1"/>
    </row>
    <row r="973">
      <c r="C973" s="1"/>
      <c r="D973" s="1"/>
      <c r="E973" s="1"/>
      <c r="F973" s="1"/>
      <c r="G973" s="1"/>
    </row>
    <row r="974">
      <c r="C974" s="1"/>
      <c r="D974" s="1"/>
      <c r="E974" s="1"/>
      <c r="F974" s="1"/>
      <c r="G974" s="1"/>
    </row>
    <row r="975">
      <c r="C975" s="1"/>
      <c r="D975" s="1"/>
      <c r="E975" s="1"/>
      <c r="F975" s="1"/>
      <c r="G975" s="1"/>
    </row>
    <row r="976">
      <c r="C976" s="1"/>
      <c r="D976" s="1"/>
      <c r="E976" s="1"/>
      <c r="F976" s="1"/>
      <c r="G976" s="1"/>
    </row>
    <row r="977">
      <c r="C977" s="1"/>
      <c r="D977" s="1"/>
      <c r="E977" s="1"/>
      <c r="F977" s="1"/>
      <c r="G977" s="1"/>
    </row>
    <row r="978">
      <c r="C978" s="1"/>
      <c r="D978" s="1"/>
      <c r="E978" s="1"/>
      <c r="F978" s="1"/>
      <c r="G978" s="1"/>
    </row>
    <row r="979">
      <c r="C979" s="1"/>
      <c r="D979" s="1"/>
      <c r="E979" s="1"/>
      <c r="F979" s="1"/>
      <c r="G979" s="1"/>
    </row>
    <row r="980">
      <c r="C980" s="1"/>
      <c r="D980" s="1"/>
      <c r="E980" s="1"/>
      <c r="F980" s="1"/>
      <c r="G980" s="1"/>
    </row>
    <row r="981">
      <c r="C981" s="1"/>
      <c r="D981" s="1"/>
      <c r="E981" s="1"/>
      <c r="F981" s="1"/>
      <c r="G981" s="1"/>
    </row>
    <row r="982">
      <c r="C982" s="1"/>
      <c r="D982" s="1"/>
      <c r="E982" s="1"/>
      <c r="F982" s="1"/>
      <c r="G982" s="1"/>
    </row>
    <row r="983">
      <c r="C983" s="1"/>
      <c r="D983" s="1"/>
      <c r="E983" s="1"/>
      <c r="F983" s="1"/>
      <c r="G983" s="1"/>
    </row>
    <row r="984">
      <c r="C984" s="1"/>
      <c r="D984" s="1"/>
      <c r="E984" s="1"/>
      <c r="F984" s="1"/>
      <c r="G984" s="1"/>
    </row>
    <row r="985">
      <c r="C985" s="1"/>
      <c r="D985" s="1"/>
      <c r="E985" s="1"/>
      <c r="F985" s="1"/>
      <c r="G985" s="1"/>
    </row>
    <row r="986">
      <c r="C986" s="1"/>
      <c r="D986" s="1"/>
      <c r="E986" s="1"/>
      <c r="F986" s="1"/>
      <c r="G986" s="1"/>
    </row>
    <row r="987">
      <c r="C987" s="1"/>
      <c r="D987" s="1"/>
      <c r="E987" s="1"/>
      <c r="F987" s="1"/>
      <c r="G987" s="1"/>
    </row>
    <row r="988">
      <c r="C988" s="1"/>
      <c r="D988" s="1"/>
      <c r="E988" s="1"/>
      <c r="F988" s="1"/>
      <c r="G988" s="1"/>
    </row>
    <row r="989">
      <c r="C989" s="1"/>
      <c r="D989" s="1"/>
      <c r="E989" s="1"/>
      <c r="F989" s="1"/>
      <c r="G989" s="1"/>
    </row>
    <row r="990">
      <c r="C990" s="1"/>
      <c r="D990" s="1"/>
      <c r="E990" s="1"/>
      <c r="F990" s="1"/>
      <c r="G990" s="1"/>
    </row>
    <row r="991">
      <c r="C991" s="1"/>
      <c r="D991" s="1"/>
      <c r="E991" s="1"/>
      <c r="F991" s="1"/>
      <c r="G991" s="1"/>
    </row>
    <row r="992">
      <c r="C992" s="1"/>
      <c r="D992" s="1"/>
      <c r="E992" s="1"/>
      <c r="F992" s="1"/>
      <c r="G992" s="1"/>
    </row>
    <row r="993">
      <c r="C993" s="1"/>
      <c r="D993" s="1"/>
      <c r="E993" s="1"/>
      <c r="F993" s="1"/>
      <c r="G993" s="1"/>
    </row>
    <row r="994">
      <c r="C994" s="1"/>
      <c r="D994" s="1"/>
      <c r="E994" s="1"/>
      <c r="F994" s="1"/>
      <c r="G994" s="1"/>
    </row>
    <row r="995">
      <c r="C995" s="1"/>
      <c r="D995" s="1"/>
      <c r="E995" s="1"/>
      <c r="F995" s="1"/>
      <c r="G995" s="1"/>
    </row>
    <row r="996">
      <c r="C996" s="1"/>
      <c r="D996" s="1"/>
      <c r="E996" s="1"/>
      <c r="F996" s="1"/>
      <c r="G996" s="1"/>
    </row>
    <row r="997">
      <c r="C997" s="1"/>
      <c r="D997" s="1"/>
      <c r="E997" s="1"/>
      <c r="F997" s="1"/>
      <c r="G997" s="1"/>
    </row>
    <row r="998">
      <c r="C998" s="1"/>
      <c r="D998" s="1"/>
      <c r="E998" s="1"/>
      <c r="F998" s="1"/>
      <c r="G998" s="1"/>
    </row>
    <row r="999">
      <c r="C999" s="1"/>
      <c r="D999" s="1"/>
      <c r="E999" s="1"/>
      <c r="F999" s="1"/>
      <c r="G999" s="1"/>
    </row>
    <row r="1000">
      <c r="C1000" s="1"/>
      <c r="D1000" s="1"/>
      <c r="E1000" s="1"/>
      <c r="F1000" s="1"/>
      <c r="G1000" s="1"/>
    </row>
    <row r="1001">
      <c r="C1001" s="1"/>
      <c r="D1001" s="1"/>
      <c r="E1001" s="1"/>
      <c r="F1001" s="1"/>
      <c r="G1001" s="1"/>
    </row>
    <row r="1002">
      <c r="C1002" s="1"/>
      <c r="D1002" s="1"/>
      <c r="E1002" s="1"/>
      <c r="F1002" s="1"/>
      <c r="G1002" s="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2" max="2" width="45.88"/>
    <col customWidth="1" min="3" max="3" width="41.75"/>
    <col customWidth="1" min="4" max="4" width="25.25"/>
  </cols>
  <sheetData>
    <row r="1">
      <c r="A1" s="23" t="s">
        <v>27</v>
      </c>
      <c r="B1" s="23" t="s">
        <v>28</v>
      </c>
      <c r="C1" s="23" t="s">
        <v>29</v>
      </c>
      <c r="D1" s="24" t="s">
        <v>30</v>
      </c>
      <c r="E1" s="24" t="s">
        <v>31</v>
      </c>
    </row>
    <row r="2">
      <c r="A2" s="25" t="s">
        <v>32</v>
      </c>
      <c r="B2" s="26" t="s">
        <v>33</v>
      </c>
      <c r="C2" s="26" t="s">
        <v>34</v>
      </c>
      <c r="D2" s="22" t="s">
        <v>35</v>
      </c>
      <c r="E2" s="18" t="s">
        <v>36</v>
      </c>
    </row>
    <row r="3">
      <c r="A3" s="27" t="s">
        <v>37</v>
      </c>
      <c r="B3" s="28" t="s">
        <v>38</v>
      </c>
      <c r="C3" s="29" t="s">
        <v>39</v>
      </c>
    </row>
    <row r="4">
      <c r="A4" s="30" t="s">
        <v>40</v>
      </c>
      <c r="B4" s="31" t="s">
        <v>41</v>
      </c>
      <c r="C4" s="31" t="s">
        <v>42</v>
      </c>
    </row>
    <row r="5">
      <c r="A5" s="32" t="s">
        <v>43</v>
      </c>
      <c r="B5" s="33" t="s">
        <v>44</v>
      </c>
      <c r="C5" s="34" t="s">
        <v>45</v>
      </c>
    </row>
    <row r="6">
      <c r="A6" s="35" t="s">
        <v>46</v>
      </c>
      <c r="B6" s="36" t="s">
        <v>47</v>
      </c>
      <c r="C6" s="37"/>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25"/>
    <col customWidth="1" min="2" max="2" width="17.63"/>
    <col customWidth="1" min="3" max="3" width="11.63"/>
    <col customWidth="1" min="4" max="4" width="31.38"/>
    <col customWidth="1" min="5" max="6" width="22.88"/>
    <col customWidth="1" min="7" max="7" width="22.75"/>
    <col customWidth="1" min="8" max="8" width="13.13"/>
    <col customWidth="1" min="9" max="9" width="17.63"/>
    <col customWidth="1" min="10" max="10" width="22.5"/>
    <col customWidth="1" min="11" max="11" width="17.63"/>
    <col customWidth="1" min="12" max="12" width="20.25"/>
    <col customWidth="1" min="13" max="15" width="15.13"/>
    <col customWidth="1" min="16" max="16" width="16.0"/>
    <col customWidth="1" min="17" max="17" width="11.88"/>
    <col customWidth="1" min="18" max="19" width="9.75"/>
    <col customWidth="1" min="20" max="20" width="12.75"/>
    <col customWidth="1" min="21" max="21" width="34.5"/>
    <col customWidth="1" min="22" max="22" width="12.25"/>
    <col customWidth="1" min="23" max="23" width="47.25"/>
  </cols>
  <sheetData>
    <row r="1" ht="30.0" customHeight="1">
      <c r="A1" s="38" t="s">
        <v>48</v>
      </c>
      <c r="B1" s="38" t="s">
        <v>49</v>
      </c>
      <c r="C1" s="38" t="s">
        <v>50</v>
      </c>
      <c r="D1" s="39" t="s">
        <v>51</v>
      </c>
      <c r="E1" s="38" t="s">
        <v>52</v>
      </c>
      <c r="F1" s="38" t="s">
        <v>53</v>
      </c>
      <c r="G1" s="38" t="s">
        <v>54</v>
      </c>
      <c r="H1" s="39" t="s">
        <v>55</v>
      </c>
      <c r="I1" s="40" t="s">
        <v>56</v>
      </c>
      <c r="J1" s="40" t="s">
        <v>57</v>
      </c>
      <c r="K1" s="40" t="s">
        <v>58</v>
      </c>
      <c r="L1" s="40" t="s">
        <v>59</v>
      </c>
      <c r="M1" s="40" t="s">
        <v>60</v>
      </c>
      <c r="N1" s="40" t="s">
        <v>61</v>
      </c>
      <c r="O1" s="40" t="s">
        <v>62</v>
      </c>
      <c r="P1" s="38" t="s">
        <v>63</v>
      </c>
      <c r="Q1" s="38" t="s">
        <v>64</v>
      </c>
      <c r="R1" s="38" t="s">
        <v>65</v>
      </c>
      <c r="S1" s="38" t="s">
        <v>66</v>
      </c>
      <c r="T1" s="38" t="s">
        <v>67</v>
      </c>
      <c r="U1" s="38" t="s">
        <v>68</v>
      </c>
      <c r="V1" s="38"/>
      <c r="W1" s="38" t="s">
        <v>69</v>
      </c>
      <c r="X1" s="38" t="s">
        <v>70</v>
      </c>
      <c r="Y1" s="41"/>
      <c r="Z1" s="41"/>
      <c r="AA1" s="41"/>
      <c r="AB1" s="41"/>
      <c r="AC1" s="41"/>
      <c r="AD1" s="41"/>
      <c r="AE1" s="41"/>
      <c r="AF1" s="41"/>
      <c r="AG1" s="41"/>
      <c r="AH1" s="41"/>
      <c r="AI1" s="41"/>
      <c r="AJ1" s="41"/>
      <c r="AK1" s="41"/>
    </row>
    <row r="2" ht="17.25" customHeight="1">
      <c r="A2" s="42" t="s">
        <v>71</v>
      </c>
      <c r="B2" s="43" t="s">
        <v>72</v>
      </c>
      <c r="C2" s="43" t="s">
        <v>73</v>
      </c>
      <c r="D2" s="42" t="s">
        <v>74</v>
      </c>
      <c r="E2" s="42" t="s">
        <v>75</v>
      </c>
      <c r="F2" s="42" t="s">
        <v>76</v>
      </c>
      <c r="G2" s="42" t="s">
        <v>77</v>
      </c>
      <c r="H2" s="44" t="b">
        <v>1</v>
      </c>
      <c r="I2" s="44" t="b">
        <v>0</v>
      </c>
      <c r="J2" s="44" t="b">
        <v>0</v>
      </c>
      <c r="K2" s="44" t="b">
        <v>0</v>
      </c>
      <c r="L2" s="44" t="b">
        <v>0</v>
      </c>
      <c r="M2" s="44" t="b">
        <v>1</v>
      </c>
      <c r="N2" s="44" t="b">
        <v>0</v>
      </c>
      <c r="O2" s="44" t="b">
        <v>0</v>
      </c>
      <c r="P2" s="45" t="s">
        <v>78</v>
      </c>
      <c r="Q2" s="44" t="b">
        <v>0</v>
      </c>
      <c r="R2" s="44" t="b">
        <v>1</v>
      </c>
      <c r="S2" s="46" t="b">
        <v>0</v>
      </c>
      <c r="T2" s="46" t="b">
        <v>0</v>
      </c>
      <c r="U2" s="46"/>
      <c r="V2" s="46"/>
      <c r="W2" s="46"/>
      <c r="X2" s="46"/>
      <c r="Y2" s="46"/>
      <c r="Z2" s="46"/>
      <c r="AA2" s="46"/>
      <c r="AB2" s="46"/>
      <c r="AC2" s="46"/>
      <c r="AD2" s="46"/>
      <c r="AE2" s="46"/>
      <c r="AF2" s="46"/>
      <c r="AG2" s="46"/>
      <c r="AH2" s="46"/>
      <c r="AI2" s="46"/>
      <c r="AJ2" s="46"/>
      <c r="AK2" s="46"/>
    </row>
    <row r="3" ht="17.25" customHeight="1">
      <c r="A3" s="47" t="s">
        <v>79</v>
      </c>
      <c r="B3" s="48" t="s">
        <v>80</v>
      </c>
      <c r="C3" s="47" t="s">
        <v>81</v>
      </c>
      <c r="D3" s="47" t="s">
        <v>74</v>
      </c>
      <c r="E3" s="47" t="s">
        <v>82</v>
      </c>
      <c r="F3" s="47" t="s">
        <v>76</v>
      </c>
      <c r="G3" s="47" t="s">
        <v>16</v>
      </c>
      <c r="H3" s="49" t="b">
        <v>0</v>
      </c>
      <c r="I3" s="49" t="b">
        <v>1</v>
      </c>
      <c r="J3" s="49" t="b">
        <v>0</v>
      </c>
      <c r="K3" s="49" t="b">
        <v>0</v>
      </c>
      <c r="L3" s="49" t="b">
        <v>0</v>
      </c>
      <c r="M3" s="49" t="b">
        <v>1</v>
      </c>
      <c r="N3" s="49" t="b">
        <v>0</v>
      </c>
      <c r="O3" s="49" t="b">
        <v>0</v>
      </c>
      <c r="P3" s="14" t="s">
        <v>23</v>
      </c>
      <c r="Q3" s="49" t="b">
        <v>0</v>
      </c>
      <c r="R3" s="49" t="b">
        <v>0</v>
      </c>
      <c r="S3" s="15" t="b">
        <v>0</v>
      </c>
      <c r="T3" s="15" t="b">
        <v>0</v>
      </c>
      <c r="U3" s="47"/>
      <c r="V3" s="47"/>
      <c r="W3" s="47"/>
      <c r="X3" s="47"/>
      <c r="Y3" s="47"/>
      <c r="Z3" s="47"/>
      <c r="AA3" s="47"/>
      <c r="AB3" s="47"/>
      <c r="AC3" s="47"/>
      <c r="AD3" s="47"/>
      <c r="AE3" s="47"/>
      <c r="AF3" s="47"/>
      <c r="AG3" s="47"/>
      <c r="AH3" s="47"/>
      <c r="AI3" s="47"/>
      <c r="AJ3" s="47"/>
      <c r="AK3" s="47"/>
    </row>
    <row r="4" ht="17.25" customHeight="1">
      <c r="A4" s="47" t="s">
        <v>83</v>
      </c>
      <c r="B4" s="48" t="s">
        <v>80</v>
      </c>
      <c r="C4" s="47" t="s">
        <v>84</v>
      </c>
      <c r="D4" s="47" t="s">
        <v>85</v>
      </c>
      <c r="E4" s="47" t="s">
        <v>75</v>
      </c>
      <c r="F4" s="47" t="s">
        <v>86</v>
      </c>
      <c r="G4" s="47" t="s">
        <v>16</v>
      </c>
      <c r="H4" s="49" t="b">
        <v>0</v>
      </c>
      <c r="I4" s="49" t="b">
        <v>0</v>
      </c>
      <c r="J4" s="49" t="b">
        <v>0</v>
      </c>
      <c r="K4" s="49" t="b">
        <v>0</v>
      </c>
      <c r="L4" s="49" t="b">
        <v>0</v>
      </c>
      <c r="M4" s="49" t="b">
        <v>0</v>
      </c>
      <c r="N4" s="49" t="b">
        <v>0</v>
      </c>
      <c r="O4" s="49" t="b">
        <v>0</v>
      </c>
      <c r="P4" s="14" t="s">
        <v>87</v>
      </c>
      <c r="Q4" s="49" t="b">
        <v>0</v>
      </c>
      <c r="R4" s="49" t="b">
        <v>0</v>
      </c>
      <c r="S4" s="15" t="b">
        <v>0</v>
      </c>
      <c r="T4" s="15" t="b">
        <v>0</v>
      </c>
      <c r="U4" s="47"/>
      <c r="V4" s="47"/>
      <c r="W4" s="47" t="s">
        <v>88</v>
      </c>
      <c r="X4" s="47"/>
      <c r="Y4" s="47"/>
      <c r="Z4" s="47"/>
      <c r="AA4" s="47"/>
      <c r="AB4" s="47"/>
      <c r="AC4" s="47"/>
      <c r="AD4" s="47"/>
      <c r="AE4" s="47"/>
      <c r="AF4" s="47"/>
      <c r="AG4" s="47"/>
      <c r="AH4" s="47"/>
      <c r="AI4" s="47"/>
      <c r="AJ4" s="47"/>
      <c r="AK4" s="47"/>
    </row>
    <row r="5" ht="17.25" customHeight="1">
      <c r="A5" s="50" t="s">
        <v>89</v>
      </c>
      <c r="B5" s="48" t="s">
        <v>72</v>
      </c>
      <c r="C5" s="47" t="s">
        <v>72</v>
      </c>
      <c r="D5" s="48" t="s">
        <v>90</v>
      </c>
      <c r="E5" s="47" t="s">
        <v>91</v>
      </c>
      <c r="F5" s="51" t="s">
        <v>86</v>
      </c>
      <c r="G5" s="48" t="s">
        <v>8</v>
      </c>
      <c r="H5" s="49" t="b">
        <v>0</v>
      </c>
      <c r="I5" s="49" t="b">
        <v>1</v>
      </c>
      <c r="J5" s="52" t="b">
        <v>0</v>
      </c>
      <c r="K5" s="52" t="b">
        <v>0</v>
      </c>
      <c r="L5" s="52" t="b">
        <v>0</v>
      </c>
      <c r="M5" s="52" t="b">
        <v>0</v>
      </c>
      <c r="N5" s="52" t="b">
        <v>0</v>
      </c>
      <c r="O5" s="52" t="b">
        <v>0</v>
      </c>
      <c r="P5" s="48" t="s">
        <v>23</v>
      </c>
      <c r="Q5" s="52" t="b">
        <v>0</v>
      </c>
      <c r="R5" s="52" t="b">
        <v>0</v>
      </c>
      <c r="S5" s="52" t="b">
        <v>0</v>
      </c>
      <c r="T5" s="52" t="b">
        <v>0</v>
      </c>
      <c r="V5" s="47"/>
      <c r="W5" s="47" t="s">
        <v>92</v>
      </c>
    </row>
    <row r="6" ht="17.25" customHeight="1">
      <c r="A6" s="53" t="s">
        <v>93</v>
      </c>
      <c r="B6" s="48" t="s">
        <v>94</v>
      </c>
      <c r="C6" s="47" t="s">
        <v>95</v>
      </c>
      <c r="D6" s="47" t="s">
        <v>85</v>
      </c>
      <c r="E6" s="47" t="s">
        <v>96</v>
      </c>
      <c r="F6" s="47" t="s">
        <v>86</v>
      </c>
      <c r="G6" s="47" t="s">
        <v>11</v>
      </c>
      <c r="H6" s="49" t="b">
        <v>0</v>
      </c>
      <c r="I6" s="49" t="b">
        <v>0</v>
      </c>
      <c r="J6" s="49" t="b">
        <v>0</v>
      </c>
      <c r="K6" s="49" t="b">
        <v>1</v>
      </c>
      <c r="L6" s="49" t="b">
        <v>1</v>
      </c>
      <c r="M6" s="49" t="b">
        <v>0</v>
      </c>
      <c r="N6" s="49" t="b">
        <v>0</v>
      </c>
      <c r="O6" s="49" t="b">
        <v>1</v>
      </c>
      <c r="P6" s="14" t="s">
        <v>23</v>
      </c>
      <c r="Q6" s="49" t="b">
        <v>1</v>
      </c>
      <c r="R6" s="49" t="b">
        <v>1</v>
      </c>
      <c r="S6" s="15" t="b">
        <v>0</v>
      </c>
      <c r="T6" s="15" t="b">
        <v>0</v>
      </c>
      <c r="W6" s="14" t="s">
        <v>97</v>
      </c>
    </row>
    <row r="7" ht="17.25" customHeight="1">
      <c r="A7" s="47" t="s">
        <v>98</v>
      </c>
      <c r="B7" s="48" t="s">
        <v>99</v>
      </c>
      <c r="C7" s="47" t="s">
        <v>95</v>
      </c>
      <c r="D7" s="47" t="s">
        <v>100</v>
      </c>
      <c r="E7" s="47" t="s">
        <v>101</v>
      </c>
      <c r="F7" s="47" t="s">
        <v>76</v>
      </c>
      <c r="G7" s="47" t="s">
        <v>11</v>
      </c>
      <c r="H7" s="49" t="b">
        <v>0</v>
      </c>
      <c r="I7" s="49" t="b">
        <v>0</v>
      </c>
      <c r="J7" s="49" t="b">
        <v>0</v>
      </c>
      <c r="K7" s="49" t="b">
        <v>1</v>
      </c>
      <c r="L7" s="49" t="b">
        <v>1</v>
      </c>
      <c r="M7" s="49" t="b">
        <v>1</v>
      </c>
      <c r="N7" s="49" t="b">
        <v>0</v>
      </c>
      <c r="O7" s="49" t="b">
        <v>0</v>
      </c>
      <c r="P7" s="14" t="s">
        <v>87</v>
      </c>
      <c r="Q7" s="49" t="b">
        <v>1</v>
      </c>
      <c r="R7" s="49" t="b">
        <v>1</v>
      </c>
      <c r="S7" s="15" t="b">
        <v>0</v>
      </c>
      <c r="T7" s="15" t="b">
        <v>0</v>
      </c>
    </row>
    <row r="8" ht="17.25" customHeight="1">
      <c r="A8" s="47" t="s">
        <v>102</v>
      </c>
      <c r="B8" s="48" t="s">
        <v>103</v>
      </c>
      <c r="C8" s="47" t="s">
        <v>103</v>
      </c>
      <c r="D8" s="47" t="s">
        <v>85</v>
      </c>
      <c r="E8" s="47" t="s">
        <v>75</v>
      </c>
      <c r="F8" s="47" t="s">
        <v>86</v>
      </c>
      <c r="G8" s="47" t="s">
        <v>10</v>
      </c>
      <c r="H8" s="49" t="b">
        <v>0</v>
      </c>
      <c r="I8" s="49" t="b">
        <v>0</v>
      </c>
      <c r="J8" s="49" t="b">
        <v>0</v>
      </c>
      <c r="K8" s="49" t="b">
        <v>0</v>
      </c>
      <c r="L8" s="49" t="b">
        <v>0</v>
      </c>
      <c r="M8" s="49" t="b">
        <v>0</v>
      </c>
      <c r="N8" s="49" t="b">
        <v>0</v>
      </c>
      <c r="O8" s="49" t="b">
        <v>0</v>
      </c>
      <c r="P8" s="14" t="s">
        <v>23</v>
      </c>
      <c r="Q8" s="49" t="b">
        <v>1</v>
      </c>
      <c r="R8" s="49" t="b">
        <v>0</v>
      </c>
      <c r="S8" s="15" t="b">
        <v>0</v>
      </c>
      <c r="T8" s="15" t="b">
        <v>0</v>
      </c>
    </row>
    <row r="9" ht="17.25" customHeight="1">
      <c r="A9" s="47" t="s">
        <v>104</v>
      </c>
      <c r="B9" s="48" t="s">
        <v>72</v>
      </c>
      <c r="C9" s="47" t="s">
        <v>72</v>
      </c>
      <c r="D9" s="47" t="s">
        <v>100</v>
      </c>
      <c r="E9" s="47" t="s">
        <v>75</v>
      </c>
      <c r="F9" s="47" t="s">
        <v>86</v>
      </c>
      <c r="G9" s="42" t="s">
        <v>8</v>
      </c>
      <c r="H9" s="49" t="b">
        <v>1</v>
      </c>
      <c r="I9" s="49" t="b">
        <v>0</v>
      </c>
      <c r="J9" s="49" t="b">
        <v>0</v>
      </c>
      <c r="K9" s="49" t="b">
        <v>1</v>
      </c>
      <c r="L9" s="49" t="b">
        <v>1</v>
      </c>
      <c r="M9" s="49" t="b">
        <v>0</v>
      </c>
      <c r="N9" s="49" t="b">
        <v>0</v>
      </c>
      <c r="O9" s="49" t="b">
        <v>0</v>
      </c>
      <c r="P9" s="14" t="s">
        <v>105</v>
      </c>
      <c r="Q9" s="49" t="b">
        <v>1</v>
      </c>
      <c r="R9" s="49" t="b">
        <v>1</v>
      </c>
      <c r="S9" s="15" t="b">
        <v>0</v>
      </c>
      <c r="T9" s="15" t="b">
        <v>0</v>
      </c>
      <c r="V9" s="14" t="s">
        <v>106</v>
      </c>
      <c r="W9" s="14" t="s">
        <v>107</v>
      </c>
    </row>
    <row r="10" ht="17.25" customHeight="1">
      <c r="A10" s="47" t="s">
        <v>108</v>
      </c>
      <c r="B10" s="48" t="s">
        <v>109</v>
      </c>
      <c r="C10" s="47" t="s">
        <v>110</v>
      </c>
      <c r="D10" s="47" t="s">
        <v>74</v>
      </c>
      <c r="E10" s="47" t="s">
        <v>75</v>
      </c>
      <c r="F10" s="47" t="s">
        <v>76</v>
      </c>
      <c r="G10" s="47" t="s">
        <v>8</v>
      </c>
      <c r="H10" s="49" t="b">
        <v>0</v>
      </c>
      <c r="I10" s="49" t="b">
        <v>0</v>
      </c>
      <c r="J10" s="49" t="b">
        <v>0</v>
      </c>
      <c r="K10" s="49" t="b">
        <v>1</v>
      </c>
      <c r="L10" s="49" t="b">
        <v>1</v>
      </c>
      <c r="M10" s="49" t="b">
        <v>1</v>
      </c>
      <c r="N10" s="49" t="b">
        <v>1</v>
      </c>
      <c r="O10" s="49" t="b">
        <v>0</v>
      </c>
      <c r="P10" s="14" t="s">
        <v>23</v>
      </c>
      <c r="Q10" s="49" t="b">
        <v>1</v>
      </c>
      <c r="R10" s="49" t="b">
        <v>1</v>
      </c>
      <c r="S10" s="15" t="b">
        <v>0</v>
      </c>
      <c r="T10" s="15" t="b">
        <v>0</v>
      </c>
      <c r="V10" s="14" t="s">
        <v>111</v>
      </c>
    </row>
    <row r="11" ht="17.25" customHeight="1">
      <c r="A11" s="47" t="s">
        <v>112</v>
      </c>
      <c r="B11" s="48" t="s">
        <v>80</v>
      </c>
      <c r="C11" s="47" t="s">
        <v>84</v>
      </c>
      <c r="D11" s="47" t="s">
        <v>85</v>
      </c>
      <c r="E11" s="47" t="s">
        <v>101</v>
      </c>
      <c r="F11" s="47" t="s">
        <v>86</v>
      </c>
      <c r="G11" s="47" t="s">
        <v>16</v>
      </c>
      <c r="H11" s="49" t="b">
        <v>0</v>
      </c>
      <c r="I11" s="49" t="b">
        <v>0</v>
      </c>
      <c r="J11" s="49" t="b">
        <v>0</v>
      </c>
      <c r="K11" s="49" t="b">
        <v>0</v>
      </c>
      <c r="L11" s="49" t="b">
        <v>0</v>
      </c>
      <c r="M11" s="49" t="b">
        <v>0</v>
      </c>
      <c r="N11" s="49" t="b">
        <v>0</v>
      </c>
      <c r="O11" s="49" t="b">
        <v>0</v>
      </c>
      <c r="P11" s="14" t="s">
        <v>113</v>
      </c>
      <c r="Q11" s="49" t="b">
        <v>0</v>
      </c>
      <c r="R11" s="49" t="b">
        <v>0</v>
      </c>
      <c r="S11" s="15" t="b">
        <v>0</v>
      </c>
      <c r="T11" s="14" t="b">
        <v>0</v>
      </c>
      <c r="U11" s="47"/>
      <c r="V11" s="47"/>
      <c r="W11" s="47" t="s">
        <v>114</v>
      </c>
    </row>
    <row r="12" ht="17.25" customHeight="1">
      <c r="A12" s="14" t="s">
        <v>115</v>
      </c>
      <c r="B12" s="14" t="s">
        <v>72</v>
      </c>
      <c r="C12" s="47" t="s">
        <v>72</v>
      </c>
      <c r="D12" s="47" t="s">
        <v>100</v>
      </c>
      <c r="E12" s="47" t="s">
        <v>75</v>
      </c>
      <c r="F12" s="47" t="s">
        <v>76</v>
      </c>
      <c r="G12" s="47" t="s">
        <v>16</v>
      </c>
      <c r="H12" s="49" t="b">
        <v>1</v>
      </c>
      <c r="I12" s="49" t="b">
        <v>0</v>
      </c>
      <c r="J12" s="49" t="b">
        <v>0</v>
      </c>
      <c r="K12" s="49" t="b">
        <v>0</v>
      </c>
      <c r="L12" s="49" t="b">
        <v>0</v>
      </c>
      <c r="M12" s="49" t="b">
        <v>1</v>
      </c>
      <c r="N12" s="49" t="b">
        <v>0</v>
      </c>
      <c r="O12" s="49" t="b">
        <v>0</v>
      </c>
      <c r="P12" s="14" t="s">
        <v>78</v>
      </c>
      <c r="Q12" s="49" t="b">
        <v>0</v>
      </c>
      <c r="R12" s="1"/>
    </row>
    <row r="13" ht="17.25" customHeight="1">
      <c r="A13" s="14" t="s">
        <v>116</v>
      </c>
      <c r="B13" s="48" t="s">
        <v>117</v>
      </c>
      <c r="C13" s="47" t="s">
        <v>110</v>
      </c>
      <c r="D13" s="47" t="s">
        <v>74</v>
      </c>
      <c r="E13" s="47" t="s">
        <v>75</v>
      </c>
      <c r="F13" s="47" t="s">
        <v>76</v>
      </c>
      <c r="G13" s="47" t="s">
        <v>8</v>
      </c>
      <c r="H13" s="49" t="b">
        <v>1</v>
      </c>
      <c r="I13" s="49" t="b">
        <v>0</v>
      </c>
      <c r="J13" s="49" t="b">
        <v>0</v>
      </c>
      <c r="K13" s="49" t="b">
        <v>0</v>
      </c>
      <c r="L13" s="49" t="b">
        <v>0</v>
      </c>
      <c r="M13" s="49" t="b">
        <v>0</v>
      </c>
      <c r="N13" s="49" t="b">
        <v>0</v>
      </c>
      <c r="O13" s="49" t="b">
        <v>0</v>
      </c>
      <c r="P13" s="14" t="s">
        <v>78</v>
      </c>
      <c r="Q13" s="49" t="b">
        <v>0</v>
      </c>
      <c r="R13" s="49" t="b">
        <v>0</v>
      </c>
      <c r="S13" s="15" t="b">
        <v>0</v>
      </c>
      <c r="T13" s="15" t="b">
        <v>0</v>
      </c>
    </row>
    <row r="14" ht="17.25" customHeight="1">
      <c r="A14" s="47" t="s">
        <v>118</v>
      </c>
      <c r="B14" s="48" t="s">
        <v>103</v>
      </c>
      <c r="C14" s="47" t="s">
        <v>103</v>
      </c>
      <c r="D14" s="47" t="s">
        <v>100</v>
      </c>
      <c r="E14" s="47" t="s">
        <v>101</v>
      </c>
      <c r="F14" s="47" t="s">
        <v>76</v>
      </c>
      <c r="G14" s="47" t="s">
        <v>10</v>
      </c>
      <c r="H14" s="49" t="b">
        <v>0</v>
      </c>
      <c r="I14" s="49" t="b">
        <v>0</v>
      </c>
      <c r="J14" s="49" t="b">
        <v>0</v>
      </c>
      <c r="K14" s="49" t="b">
        <v>1</v>
      </c>
      <c r="L14" s="49" t="b">
        <v>1</v>
      </c>
      <c r="M14" s="49" t="b">
        <v>0</v>
      </c>
      <c r="N14" s="49" t="b">
        <v>0</v>
      </c>
      <c r="O14" s="49" t="b">
        <v>1</v>
      </c>
      <c r="P14" s="14" t="s">
        <v>87</v>
      </c>
      <c r="Q14" s="49" t="b">
        <v>1</v>
      </c>
      <c r="R14" s="49" t="b">
        <v>1</v>
      </c>
      <c r="S14" s="15" t="b">
        <v>0</v>
      </c>
      <c r="T14" s="15" t="b">
        <v>0</v>
      </c>
      <c r="X14" s="47"/>
      <c r="Y14" s="47"/>
      <c r="Z14" s="47"/>
      <c r="AA14" s="47"/>
      <c r="AB14" s="47"/>
      <c r="AC14" s="47"/>
      <c r="AD14" s="47"/>
      <c r="AE14" s="47"/>
      <c r="AF14" s="47"/>
      <c r="AG14" s="47"/>
      <c r="AH14" s="47"/>
      <c r="AI14" s="47"/>
      <c r="AJ14" s="47"/>
      <c r="AK14" s="47"/>
    </row>
    <row r="15" ht="17.25" customHeight="1">
      <c r="A15" s="48" t="s">
        <v>119</v>
      </c>
      <c r="B15" s="48" t="s">
        <v>94</v>
      </c>
      <c r="C15" s="47" t="s">
        <v>95</v>
      </c>
      <c r="D15" s="47" t="s">
        <v>74</v>
      </c>
      <c r="E15" s="47" t="s">
        <v>82</v>
      </c>
      <c r="F15" s="47" t="s">
        <v>76</v>
      </c>
      <c r="G15" s="47" t="s">
        <v>11</v>
      </c>
      <c r="H15" s="49" t="b">
        <v>0</v>
      </c>
      <c r="I15" s="49" t="b">
        <v>0</v>
      </c>
      <c r="J15" s="49" t="b">
        <v>0</v>
      </c>
      <c r="K15" s="49" t="b">
        <v>0</v>
      </c>
      <c r="L15" s="49" t="b">
        <v>0</v>
      </c>
      <c r="M15" s="49" t="b">
        <v>1</v>
      </c>
      <c r="N15" s="49" t="b">
        <v>0</v>
      </c>
      <c r="O15" s="49" t="b">
        <v>0</v>
      </c>
      <c r="P15" s="14" t="s">
        <v>23</v>
      </c>
      <c r="Q15" s="49" t="b">
        <v>1</v>
      </c>
      <c r="R15" s="49" t="b">
        <v>1</v>
      </c>
      <c r="W15" s="14" t="s">
        <v>120</v>
      </c>
      <c r="X15" s="47"/>
      <c r="Y15" s="47"/>
      <c r="Z15" s="47"/>
      <c r="AA15" s="47"/>
      <c r="AB15" s="47"/>
      <c r="AC15" s="47"/>
      <c r="AD15" s="47"/>
      <c r="AE15" s="47"/>
      <c r="AF15" s="47"/>
      <c r="AG15" s="47"/>
      <c r="AH15" s="47"/>
      <c r="AI15" s="47"/>
      <c r="AJ15" s="47"/>
      <c r="AK15" s="47"/>
    </row>
    <row r="16" ht="17.25" customHeight="1">
      <c r="A16" s="43" t="s">
        <v>121</v>
      </c>
      <c r="B16" s="43" t="s">
        <v>80</v>
      </c>
      <c r="C16" s="42" t="s">
        <v>73</v>
      </c>
      <c r="D16" s="54" t="s">
        <v>122</v>
      </c>
      <c r="E16" s="42" t="s">
        <v>82</v>
      </c>
      <c r="F16" s="54" t="s">
        <v>86</v>
      </c>
      <c r="G16" s="43" t="s">
        <v>77</v>
      </c>
      <c r="H16" s="55" t="b">
        <v>0</v>
      </c>
      <c r="I16" s="55" t="b">
        <v>0</v>
      </c>
      <c r="J16" s="55" t="b">
        <v>0</v>
      </c>
      <c r="K16" s="55" t="b">
        <v>0</v>
      </c>
      <c r="L16" s="55" t="b">
        <v>0</v>
      </c>
      <c r="M16" s="55" t="b">
        <v>0</v>
      </c>
      <c r="N16" s="55" t="b">
        <v>0</v>
      </c>
      <c r="O16" s="55" t="b">
        <v>0</v>
      </c>
      <c r="P16" s="43" t="s">
        <v>87</v>
      </c>
      <c r="Q16" s="55" t="b">
        <v>0</v>
      </c>
      <c r="R16" s="55" t="b">
        <v>0</v>
      </c>
      <c r="S16" s="55" t="b">
        <v>0</v>
      </c>
      <c r="T16" s="55" t="b">
        <v>0</v>
      </c>
      <c r="U16" s="42"/>
      <c r="V16" s="42"/>
      <c r="W16" s="42"/>
      <c r="X16" s="46"/>
      <c r="Y16" s="46"/>
      <c r="Z16" s="46"/>
      <c r="AA16" s="46"/>
      <c r="AB16" s="46"/>
      <c r="AC16" s="46"/>
      <c r="AD16" s="46"/>
      <c r="AE16" s="46"/>
      <c r="AF16" s="46"/>
      <c r="AG16" s="46"/>
      <c r="AH16" s="46"/>
      <c r="AI16" s="46"/>
      <c r="AJ16" s="46"/>
      <c r="AK16" s="46"/>
    </row>
    <row r="17" ht="17.25" customHeight="1">
      <c r="A17" s="47" t="s">
        <v>123</v>
      </c>
      <c r="B17" s="48" t="s">
        <v>72</v>
      </c>
      <c r="C17" s="47" t="s">
        <v>72</v>
      </c>
      <c r="D17" s="47" t="s">
        <v>90</v>
      </c>
      <c r="E17" s="47" t="s">
        <v>82</v>
      </c>
      <c r="F17" s="47" t="s">
        <v>86</v>
      </c>
      <c r="G17" s="47" t="s">
        <v>16</v>
      </c>
      <c r="H17" s="49" t="b">
        <v>0</v>
      </c>
      <c r="I17" s="49" t="b">
        <v>1</v>
      </c>
      <c r="J17" s="49" t="b">
        <v>0</v>
      </c>
      <c r="K17" s="49" t="b">
        <v>0</v>
      </c>
      <c r="L17" s="49" t="b">
        <v>0</v>
      </c>
      <c r="M17" s="49" t="b">
        <v>0</v>
      </c>
      <c r="N17" s="49" t="b">
        <v>0</v>
      </c>
      <c r="O17" s="49" t="b">
        <v>0</v>
      </c>
      <c r="P17" s="14" t="s">
        <v>87</v>
      </c>
      <c r="Q17" s="49" t="b">
        <v>0</v>
      </c>
      <c r="R17" s="49" t="b">
        <v>0</v>
      </c>
      <c r="S17" s="15" t="b">
        <v>0</v>
      </c>
      <c r="T17" s="15" t="b">
        <v>0</v>
      </c>
      <c r="U17" s="47"/>
      <c r="V17" s="47"/>
      <c r="W17" s="56" t="s">
        <v>124</v>
      </c>
    </row>
    <row r="18" ht="17.25" customHeight="1">
      <c r="A18" s="47" t="s">
        <v>125</v>
      </c>
      <c r="B18" s="48" t="s">
        <v>72</v>
      </c>
      <c r="C18" s="47" t="s">
        <v>72</v>
      </c>
      <c r="D18" s="47" t="s">
        <v>122</v>
      </c>
      <c r="E18" s="47" t="s">
        <v>75</v>
      </c>
      <c r="F18" s="47" t="s">
        <v>86</v>
      </c>
      <c r="G18" s="47" t="s">
        <v>8</v>
      </c>
      <c r="H18" s="49" t="b">
        <v>1</v>
      </c>
      <c r="I18" s="49" t="b">
        <v>0</v>
      </c>
      <c r="J18" s="49" t="b">
        <v>0</v>
      </c>
      <c r="K18" s="49" t="b">
        <v>0</v>
      </c>
      <c r="L18" s="49" t="b">
        <v>0</v>
      </c>
      <c r="M18" s="49" t="b">
        <v>0</v>
      </c>
      <c r="N18" s="49" t="b">
        <v>0</v>
      </c>
      <c r="O18" s="49" t="b">
        <v>0</v>
      </c>
      <c r="P18" s="14" t="s">
        <v>78</v>
      </c>
      <c r="Q18" s="49" t="b">
        <v>0</v>
      </c>
      <c r="R18" s="49" t="b">
        <v>0</v>
      </c>
      <c r="S18" s="15" t="b">
        <v>0</v>
      </c>
      <c r="T18" s="15" t="b">
        <v>0</v>
      </c>
      <c r="W18" s="14" t="s">
        <v>126</v>
      </c>
    </row>
    <row r="19" ht="17.25" customHeight="1">
      <c r="A19" s="47" t="s">
        <v>127</v>
      </c>
      <c r="B19" s="48" t="s">
        <v>109</v>
      </c>
      <c r="C19" s="47" t="s">
        <v>110</v>
      </c>
      <c r="D19" s="47" t="s">
        <v>74</v>
      </c>
      <c r="E19" s="47" t="s">
        <v>75</v>
      </c>
      <c r="F19" s="47" t="s">
        <v>76</v>
      </c>
      <c r="G19" s="47" t="s">
        <v>8</v>
      </c>
      <c r="H19" s="49" t="b">
        <v>0</v>
      </c>
      <c r="I19" s="49" t="b">
        <v>0</v>
      </c>
      <c r="J19" s="49" t="b">
        <v>0</v>
      </c>
      <c r="K19" s="49" t="b">
        <v>0</v>
      </c>
      <c r="L19" s="49" t="b">
        <v>0</v>
      </c>
      <c r="M19" s="49" t="b">
        <v>1</v>
      </c>
      <c r="N19" s="49" t="b">
        <v>0</v>
      </c>
      <c r="O19" s="49" t="b">
        <v>0</v>
      </c>
      <c r="P19" s="14" t="s">
        <v>23</v>
      </c>
      <c r="Q19" s="49" t="b">
        <v>1</v>
      </c>
      <c r="R19" s="49" t="b">
        <v>1</v>
      </c>
      <c r="S19" s="15" t="b">
        <v>0</v>
      </c>
      <c r="T19" s="15" t="b">
        <v>0</v>
      </c>
      <c r="V19" s="14" t="s">
        <v>106</v>
      </c>
    </row>
    <row r="20" ht="17.25" customHeight="1">
      <c r="A20" s="47" t="s">
        <v>128</v>
      </c>
      <c r="B20" s="48" t="s">
        <v>72</v>
      </c>
      <c r="C20" s="47" t="s">
        <v>72</v>
      </c>
      <c r="D20" s="47" t="s">
        <v>100</v>
      </c>
      <c r="E20" s="47" t="s">
        <v>101</v>
      </c>
      <c r="F20" s="47" t="s">
        <v>76</v>
      </c>
      <c r="G20" s="47" t="s">
        <v>8</v>
      </c>
      <c r="H20" s="49" t="b">
        <v>1</v>
      </c>
      <c r="I20" s="49" t="b">
        <v>0</v>
      </c>
      <c r="J20" s="49" t="b">
        <v>0</v>
      </c>
      <c r="K20" s="49" t="b">
        <v>1</v>
      </c>
      <c r="L20" s="49" t="b">
        <v>1</v>
      </c>
      <c r="M20" s="49" t="b">
        <v>0</v>
      </c>
      <c r="N20" s="49" t="b">
        <v>0</v>
      </c>
      <c r="O20" s="49" t="b">
        <v>0</v>
      </c>
      <c r="P20" s="14" t="s">
        <v>113</v>
      </c>
      <c r="Q20" s="49" t="b">
        <v>1</v>
      </c>
      <c r="R20" s="49" t="b">
        <v>1</v>
      </c>
      <c r="S20" s="15" t="b">
        <v>0</v>
      </c>
      <c r="T20" s="15" t="b">
        <v>0</v>
      </c>
    </row>
    <row r="21" ht="17.25" customHeight="1">
      <c r="A21" s="47" t="s">
        <v>129</v>
      </c>
      <c r="B21" s="48" t="s">
        <v>103</v>
      </c>
      <c r="C21" s="48" t="s">
        <v>103</v>
      </c>
      <c r="D21" s="47" t="s">
        <v>90</v>
      </c>
      <c r="E21" s="47" t="s">
        <v>82</v>
      </c>
      <c r="F21" s="47" t="s">
        <v>86</v>
      </c>
      <c r="G21" s="47" t="s">
        <v>10</v>
      </c>
      <c r="H21" s="49" t="b">
        <v>0</v>
      </c>
      <c r="I21" s="49" t="b">
        <v>0</v>
      </c>
      <c r="J21" s="49" t="b">
        <v>0</v>
      </c>
      <c r="K21" s="49" t="b">
        <v>0</v>
      </c>
      <c r="L21" s="49" t="b">
        <v>0</v>
      </c>
      <c r="M21" s="49" t="b">
        <v>0</v>
      </c>
      <c r="N21" s="49" t="b">
        <v>0</v>
      </c>
      <c r="O21" s="49" t="b">
        <v>0</v>
      </c>
      <c r="P21" s="14" t="s">
        <v>23</v>
      </c>
      <c r="Q21" s="49" t="b">
        <v>1</v>
      </c>
      <c r="R21" s="49" t="b">
        <v>0</v>
      </c>
      <c r="S21" s="15" t="b">
        <v>0</v>
      </c>
      <c r="T21" s="15" t="b">
        <v>0</v>
      </c>
    </row>
    <row r="22" ht="17.25" customHeight="1">
      <c r="A22" s="45" t="s">
        <v>130</v>
      </c>
      <c r="B22" s="45" t="s">
        <v>80</v>
      </c>
      <c r="C22" s="45" t="s">
        <v>73</v>
      </c>
      <c r="D22" s="45" t="s">
        <v>85</v>
      </c>
      <c r="E22" s="42" t="s">
        <v>82</v>
      </c>
      <c r="F22" s="42" t="s">
        <v>86</v>
      </c>
      <c r="G22" s="42" t="s">
        <v>131</v>
      </c>
      <c r="H22" s="44" t="b">
        <v>0</v>
      </c>
      <c r="I22" s="44" t="b">
        <v>0</v>
      </c>
      <c r="J22" s="44" t="b">
        <v>0</v>
      </c>
      <c r="K22" s="44" t="b">
        <v>0</v>
      </c>
      <c r="L22" s="44" t="b">
        <v>0</v>
      </c>
      <c r="M22" s="44" t="b">
        <v>0</v>
      </c>
      <c r="N22" s="44" t="b">
        <v>0</v>
      </c>
      <c r="O22" s="44" t="b">
        <v>0</v>
      </c>
      <c r="P22" s="45" t="s">
        <v>87</v>
      </c>
      <c r="Q22" s="44" t="b">
        <v>0</v>
      </c>
      <c r="R22" s="44" t="b">
        <v>0</v>
      </c>
      <c r="S22" s="46" t="b">
        <v>0</v>
      </c>
      <c r="T22" s="46" t="b">
        <v>0</v>
      </c>
      <c r="U22" s="46"/>
      <c r="V22" s="45"/>
      <c r="W22" s="46"/>
    </row>
    <row r="23" ht="17.25" customHeight="1">
      <c r="A23" s="47" t="s">
        <v>132</v>
      </c>
      <c r="B23" s="48" t="s">
        <v>72</v>
      </c>
      <c r="C23" s="47" t="s">
        <v>72</v>
      </c>
      <c r="D23" s="47" t="s">
        <v>100</v>
      </c>
      <c r="E23" s="47" t="s">
        <v>101</v>
      </c>
      <c r="F23" s="47" t="s">
        <v>76</v>
      </c>
      <c r="G23" s="47" t="s">
        <v>16</v>
      </c>
      <c r="H23" s="49" t="b">
        <v>0</v>
      </c>
      <c r="I23" s="49" t="b">
        <v>0</v>
      </c>
      <c r="J23" s="49" t="b">
        <v>0</v>
      </c>
      <c r="K23" s="49" t="b">
        <v>1</v>
      </c>
      <c r="L23" s="49" t="b">
        <v>0</v>
      </c>
      <c r="M23" s="49" t="b">
        <v>1</v>
      </c>
      <c r="N23" s="49" t="b">
        <v>0</v>
      </c>
      <c r="O23" s="49" t="b">
        <v>0</v>
      </c>
      <c r="P23" s="14" t="s">
        <v>87</v>
      </c>
      <c r="Q23" s="49" t="b">
        <v>1</v>
      </c>
      <c r="R23" s="49" t="b">
        <v>1</v>
      </c>
      <c r="S23" s="15" t="b">
        <v>0</v>
      </c>
      <c r="T23" s="14" t="b">
        <v>1</v>
      </c>
    </row>
    <row r="24" ht="17.25" customHeight="1">
      <c r="A24" s="50" t="s">
        <v>133</v>
      </c>
      <c r="B24" s="48" t="s">
        <v>72</v>
      </c>
      <c r="C24" s="47" t="s">
        <v>72</v>
      </c>
      <c r="D24" s="47" t="s">
        <v>74</v>
      </c>
      <c r="E24" s="47" t="s">
        <v>96</v>
      </c>
      <c r="F24" s="47" t="s">
        <v>76</v>
      </c>
      <c r="G24" s="47" t="s">
        <v>16</v>
      </c>
      <c r="H24" s="49" t="b">
        <v>0</v>
      </c>
      <c r="I24" s="49" t="b">
        <v>1</v>
      </c>
      <c r="J24" s="49" t="b">
        <v>0</v>
      </c>
      <c r="K24" s="49" t="b">
        <v>0</v>
      </c>
      <c r="L24" s="49" t="b">
        <v>0</v>
      </c>
      <c r="M24" s="49" t="b">
        <v>1</v>
      </c>
      <c r="N24" s="49" t="b">
        <v>0</v>
      </c>
      <c r="O24" s="49" t="b">
        <v>1</v>
      </c>
      <c r="P24" s="14" t="s">
        <v>134</v>
      </c>
      <c r="Q24" s="49" t="b">
        <v>1</v>
      </c>
      <c r="R24" s="49" t="b">
        <v>1</v>
      </c>
      <c r="S24" s="15" t="b">
        <v>0</v>
      </c>
      <c r="T24" s="15" t="b">
        <v>0</v>
      </c>
      <c r="W24" s="14" t="s">
        <v>135</v>
      </c>
    </row>
    <row r="25" ht="17.25" customHeight="1">
      <c r="A25" s="47" t="s">
        <v>136</v>
      </c>
      <c r="B25" s="48" t="s">
        <v>80</v>
      </c>
      <c r="C25" s="47" t="s">
        <v>95</v>
      </c>
      <c r="D25" s="47" t="s">
        <v>90</v>
      </c>
      <c r="E25" s="47" t="s">
        <v>137</v>
      </c>
      <c r="F25" s="47" t="s">
        <v>86</v>
      </c>
      <c r="G25" s="47" t="s">
        <v>16</v>
      </c>
      <c r="H25" s="49" t="b">
        <v>0</v>
      </c>
      <c r="I25" s="49" t="b">
        <v>1</v>
      </c>
      <c r="J25" s="47"/>
      <c r="K25" s="49" t="b">
        <v>0</v>
      </c>
      <c r="L25" s="49" t="b">
        <v>0</v>
      </c>
      <c r="M25" s="49" t="b">
        <v>0</v>
      </c>
      <c r="N25" s="49" t="b">
        <v>0</v>
      </c>
      <c r="O25" s="49" t="b">
        <v>0</v>
      </c>
      <c r="P25" s="14" t="s">
        <v>138</v>
      </c>
      <c r="Q25" s="49" t="b">
        <v>0</v>
      </c>
      <c r="R25" s="49" t="b">
        <v>0</v>
      </c>
      <c r="S25" s="15" t="b">
        <v>0</v>
      </c>
      <c r="T25" s="15" t="b">
        <v>0</v>
      </c>
      <c r="U25" s="47"/>
      <c r="V25" s="47"/>
      <c r="W25" s="47"/>
      <c r="X25" s="47"/>
      <c r="Y25" s="47"/>
      <c r="Z25" s="47"/>
      <c r="AA25" s="47"/>
      <c r="AB25" s="47"/>
      <c r="AC25" s="47"/>
      <c r="AD25" s="47"/>
      <c r="AE25" s="47"/>
      <c r="AF25" s="47"/>
      <c r="AG25" s="47"/>
      <c r="AH25" s="47"/>
      <c r="AI25" s="47"/>
      <c r="AJ25" s="47"/>
      <c r="AK25" s="47"/>
    </row>
    <row r="26" ht="17.25" customHeight="1">
      <c r="A26" s="47" t="s">
        <v>139</v>
      </c>
      <c r="B26" s="48" t="s">
        <v>72</v>
      </c>
      <c r="C26" s="47" t="s">
        <v>72</v>
      </c>
      <c r="D26" s="47" t="s">
        <v>85</v>
      </c>
      <c r="E26" s="47" t="s">
        <v>96</v>
      </c>
      <c r="F26" s="47" t="s">
        <v>86</v>
      </c>
      <c r="G26" s="47" t="s">
        <v>11</v>
      </c>
      <c r="H26" s="49" t="b">
        <v>0</v>
      </c>
      <c r="I26" s="49" t="b">
        <v>0</v>
      </c>
      <c r="J26" s="49" t="b">
        <v>0</v>
      </c>
      <c r="K26" s="49" t="b">
        <v>0</v>
      </c>
      <c r="L26" s="49" t="b">
        <v>0</v>
      </c>
      <c r="M26" s="49" t="b">
        <v>0</v>
      </c>
      <c r="N26" s="49" t="b">
        <v>0</v>
      </c>
      <c r="O26" s="49" t="b">
        <v>0</v>
      </c>
      <c r="P26" s="14" t="s">
        <v>138</v>
      </c>
      <c r="Q26" s="49" t="b">
        <v>0</v>
      </c>
      <c r="R26" s="49" t="b">
        <v>0</v>
      </c>
      <c r="S26" s="15" t="b">
        <v>0</v>
      </c>
      <c r="T26" s="15" t="b">
        <v>0</v>
      </c>
      <c r="V26" s="14"/>
      <c r="W26" s="14" t="s">
        <v>137</v>
      </c>
    </row>
    <row r="27" ht="17.25" customHeight="1">
      <c r="A27" s="47" t="s">
        <v>139</v>
      </c>
      <c r="B27" s="48" t="s">
        <v>103</v>
      </c>
      <c r="C27" s="47" t="s">
        <v>103</v>
      </c>
      <c r="D27" s="47" t="s">
        <v>85</v>
      </c>
      <c r="E27" s="47" t="s">
        <v>82</v>
      </c>
      <c r="F27" s="47" t="s">
        <v>86</v>
      </c>
      <c r="G27" s="47" t="s">
        <v>10</v>
      </c>
      <c r="H27" s="49" t="b">
        <v>0</v>
      </c>
      <c r="I27" s="49" t="b">
        <v>1</v>
      </c>
      <c r="J27" s="49"/>
      <c r="K27" s="49" t="b">
        <v>0</v>
      </c>
      <c r="L27" s="49" t="b">
        <v>0</v>
      </c>
      <c r="M27" s="49" t="b">
        <v>0</v>
      </c>
      <c r="N27" s="49" t="b">
        <v>0</v>
      </c>
      <c r="O27" s="49" t="b">
        <v>0</v>
      </c>
      <c r="P27" s="14"/>
      <c r="Q27" s="49" t="b">
        <v>0</v>
      </c>
      <c r="R27" s="49" t="b">
        <v>0</v>
      </c>
      <c r="S27" s="14" t="b">
        <v>0</v>
      </c>
      <c r="T27" s="14" t="b">
        <v>0</v>
      </c>
      <c r="V27" s="47"/>
      <c r="W27" s="47"/>
    </row>
    <row r="28" ht="17.25" customHeight="1">
      <c r="A28" s="47" t="s">
        <v>140</v>
      </c>
      <c r="B28" s="48" t="s">
        <v>141</v>
      </c>
      <c r="C28" s="47" t="s">
        <v>95</v>
      </c>
      <c r="D28" s="47" t="s">
        <v>142</v>
      </c>
      <c r="E28" s="47" t="s">
        <v>75</v>
      </c>
      <c r="F28" s="47" t="s">
        <v>86</v>
      </c>
      <c r="G28" s="47" t="s">
        <v>8</v>
      </c>
      <c r="H28" s="49" t="b">
        <v>0</v>
      </c>
      <c r="I28" s="49" t="b">
        <v>0</v>
      </c>
      <c r="J28" s="49" t="b">
        <v>0</v>
      </c>
      <c r="K28" s="49" t="b">
        <v>1</v>
      </c>
      <c r="L28" s="49" t="b">
        <v>1</v>
      </c>
      <c r="M28" s="49" t="b">
        <v>0</v>
      </c>
      <c r="N28" s="49" t="b">
        <v>0</v>
      </c>
      <c r="O28" s="49" t="b">
        <v>0</v>
      </c>
      <c r="P28" s="14" t="s">
        <v>23</v>
      </c>
      <c r="Q28" s="49" t="b">
        <v>1</v>
      </c>
      <c r="R28" s="49" t="b">
        <v>1</v>
      </c>
      <c r="S28" s="15" t="b">
        <v>0</v>
      </c>
      <c r="T28" s="15" t="b">
        <v>0</v>
      </c>
      <c r="V28" s="14" t="s">
        <v>106</v>
      </c>
    </row>
    <row r="29" ht="17.25" customHeight="1">
      <c r="A29" s="47" t="s">
        <v>143</v>
      </c>
      <c r="B29" s="48" t="s">
        <v>103</v>
      </c>
      <c r="C29" s="48" t="s">
        <v>103</v>
      </c>
      <c r="D29" s="47" t="s">
        <v>142</v>
      </c>
      <c r="E29" s="47" t="s">
        <v>75</v>
      </c>
      <c r="F29" s="47" t="s">
        <v>86</v>
      </c>
      <c r="G29" s="47" t="s">
        <v>21</v>
      </c>
      <c r="H29" s="49" t="b">
        <v>0</v>
      </c>
      <c r="I29" s="49" t="b">
        <v>0</v>
      </c>
      <c r="J29" s="49" t="b">
        <v>0</v>
      </c>
      <c r="K29" s="49" t="b">
        <v>0</v>
      </c>
      <c r="L29" s="49" t="b">
        <v>0</v>
      </c>
      <c r="M29" s="49" t="b">
        <v>0</v>
      </c>
      <c r="N29" s="49" t="b">
        <v>0</v>
      </c>
      <c r="O29" s="49" t="b">
        <v>0</v>
      </c>
      <c r="P29" s="57"/>
      <c r="Q29" s="49" t="b">
        <v>0</v>
      </c>
      <c r="R29" s="49" t="b">
        <v>0</v>
      </c>
      <c r="S29" s="15" t="b">
        <v>0</v>
      </c>
      <c r="T29" s="15" t="b">
        <v>0</v>
      </c>
      <c r="V29" s="14"/>
    </row>
    <row r="30" ht="17.25" customHeight="1">
      <c r="A30" s="47" t="s">
        <v>144</v>
      </c>
      <c r="B30" s="48" t="s">
        <v>145</v>
      </c>
      <c r="C30" s="47" t="s">
        <v>95</v>
      </c>
      <c r="D30" s="47" t="s">
        <v>142</v>
      </c>
      <c r="E30" s="47" t="s">
        <v>75</v>
      </c>
      <c r="F30" s="47" t="s">
        <v>86</v>
      </c>
      <c r="G30" s="47" t="s">
        <v>16</v>
      </c>
      <c r="H30" s="49" t="b">
        <v>0</v>
      </c>
      <c r="I30" s="49" t="b">
        <v>0</v>
      </c>
      <c r="J30" s="49" t="b">
        <v>0</v>
      </c>
      <c r="K30" s="49" t="b">
        <v>0</v>
      </c>
      <c r="L30" s="49" t="b">
        <v>0</v>
      </c>
      <c r="M30" s="49" t="b">
        <v>0</v>
      </c>
      <c r="N30" s="49"/>
      <c r="O30" s="49" t="b">
        <v>0</v>
      </c>
      <c r="P30" s="14" t="s">
        <v>23</v>
      </c>
      <c r="Q30" s="49" t="b">
        <v>0</v>
      </c>
      <c r="R30" s="49" t="b">
        <v>0</v>
      </c>
      <c r="S30" s="15" t="b">
        <v>0</v>
      </c>
      <c r="T30" s="15" t="b">
        <v>0</v>
      </c>
      <c r="U30" s="47"/>
      <c r="V30" s="47"/>
      <c r="W30" s="47" t="s">
        <v>146</v>
      </c>
    </row>
    <row r="31" ht="17.25" customHeight="1">
      <c r="A31" s="47" t="s">
        <v>147</v>
      </c>
      <c r="B31" s="48" t="s">
        <v>80</v>
      </c>
      <c r="C31" s="47" t="s">
        <v>95</v>
      </c>
      <c r="D31" s="47" t="s">
        <v>85</v>
      </c>
      <c r="E31" s="47" t="s">
        <v>75</v>
      </c>
      <c r="F31" s="47" t="s">
        <v>86</v>
      </c>
      <c r="G31" s="47" t="s">
        <v>8</v>
      </c>
      <c r="H31" s="49" t="b">
        <v>1</v>
      </c>
      <c r="I31" s="49" t="b">
        <v>0</v>
      </c>
      <c r="J31" s="49" t="b">
        <v>0</v>
      </c>
      <c r="K31" s="49" t="b">
        <v>1</v>
      </c>
      <c r="L31" s="49" t="b">
        <v>1</v>
      </c>
      <c r="M31" s="49" t="b">
        <v>0</v>
      </c>
      <c r="N31" s="49" t="b">
        <v>0</v>
      </c>
      <c r="O31" s="49" t="b">
        <v>0</v>
      </c>
      <c r="P31" s="14" t="s">
        <v>87</v>
      </c>
      <c r="Q31" s="49" t="b">
        <v>1</v>
      </c>
      <c r="R31" s="49" t="b">
        <v>1</v>
      </c>
      <c r="S31" s="15" t="b">
        <v>0</v>
      </c>
      <c r="T31" s="15" t="b">
        <v>0</v>
      </c>
    </row>
    <row r="32" ht="17.25" customHeight="1">
      <c r="A32" s="47" t="s">
        <v>148</v>
      </c>
      <c r="B32" s="48" t="s">
        <v>72</v>
      </c>
      <c r="C32" s="47" t="s">
        <v>72</v>
      </c>
      <c r="D32" s="47" t="s">
        <v>100</v>
      </c>
      <c r="E32" s="47" t="s">
        <v>82</v>
      </c>
      <c r="F32" s="47" t="s">
        <v>76</v>
      </c>
      <c r="G32" s="47" t="s">
        <v>11</v>
      </c>
      <c r="H32" s="49" t="b">
        <v>1</v>
      </c>
      <c r="I32" s="49" t="b">
        <v>0</v>
      </c>
      <c r="J32" s="49" t="b">
        <v>0</v>
      </c>
      <c r="K32" s="49" t="b">
        <v>1</v>
      </c>
      <c r="L32" s="49" t="b">
        <v>1</v>
      </c>
      <c r="M32" s="49" t="b">
        <v>1</v>
      </c>
      <c r="N32" s="49" t="b">
        <v>1</v>
      </c>
      <c r="O32" s="49" t="b">
        <v>0</v>
      </c>
      <c r="P32" s="14" t="s">
        <v>87</v>
      </c>
      <c r="Q32" s="49" t="b">
        <v>1</v>
      </c>
      <c r="R32" s="49" t="b">
        <v>1</v>
      </c>
      <c r="S32" s="14" t="b">
        <v>1</v>
      </c>
      <c r="T32" s="14" t="b">
        <v>1</v>
      </c>
    </row>
    <row r="33" ht="17.25" customHeight="1">
      <c r="A33" s="47" t="s">
        <v>149</v>
      </c>
      <c r="B33" s="48" t="s">
        <v>109</v>
      </c>
      <c r="C33" s="47" t="s">
        <v>110</v>
      </c>
      <c r="D33" s="47" t="s">
        <v>142</v>
      </c>
      <c r="E33" s="47" t="s">
        <v>75</v>
      </c>
      <c r="F33" s="47" t="s">
        <v>86</v>
      </c>
      <c r="G33" s="47" t="s">
        <v>8</v>
      </c>
      <c r="H33" s="49" t="b">
        <v>0</v>
      </c>
      <c r="I33" s="49" t="b">
        <v>0</v>
      </c>
      <c r="J33" s="49" t="b">
        <v>0</v>
      </c>
      <c r="K33" s="49" t="b">
        <v>0</v>
      </c>
      <c r="L33" s="49" t="b">
        <v>0</v>
      </c>
      <c r="M33" s="49" t="b">
        <v>0</v>
      </c>
      <c r="N33" s="49" t="b">
        <v>0</v>
      </c>
      <c r="O33" s="49" t="b">
        <v>1</v>
      </c>
      <c r="P33" s="14" t="s">
        <v>23</v>
      </c>
      <c r="Q33" s="49" t="b">
        <v>1</v>
      </c>
      <c r="R33" s="49" t="b">
        <v>1</v>
      </c>
      <c r="S33" s="15" t="b">
        <v>0</v>
      </c>
      <c r="T33" s="15" t="b">
        <v>0</v>
      </c>
    </row>
    <row r="34" ht="17.25" customHeight="1">
      <c r="A34" s="47" t="s">
        <v>150</v>
      </c>
      <c r="B34" s="48" t="s">
        <v>151</v>
      </c>
      <c r="C34" s="47" t="s">
        <v>95</v>
      </c>
      <c r="D34" s="47" t="s">
        <v>85</v>
      </c>
      <c r="E34" s="47" t="s">
        <v>75</v>
      </c>
      <c r="F34" s="47" t="s">
        <v>86</v>
      </c>
      <c r="G34" s="47" t="s">
        <v>10</v>
      </c>
      <c r="H34" s="49" t="b">
        <v>1</v>
      </c>
      <c r="I34" s="49" t="b">
        <v>0</v>
      </c>
      <c r="J34" s="49"/>
      <c r="K34" s="49" t="b">
        <v>0</v>
      </c>
      <c r="L34" s="49" t="b">
        <v>0</v>
      </c>
      <c r="M34" s="49" t="b">
        <v>0</v>
      </c>
      <c r="N34" s="49" t="b">
        <v>0</v>
      </c>
      <c r="O34" s="49" t="b">
        <v>1</v>
      </c>
      <c r="P34" s="14" t="s">
        <v>113</v>
      </c>
      <c r="Q34" s="49" t="b">
        <v>0</v>
      </c>
      <c r="R34" s="49" t="b">
        <v>0</v>
      </c>
      <c r="S34" s="15" t="b">
        <v>0</v>
      </c>
      <c r="T34" s="14" t="b">
        <v>0</v>
      </c>
    </row>
    <row r="35" ht="17.25" customHeight="1">
      <c r="A35" s="58" t="s">
        <v>152</v>
      </c>
      <c r="B35" s="48" t="s">
        <v>141</v>
      </c>
      <c r="C35" s="47" t="s">
        <v>95</v>
      </c>
      <c r="D35" s="47" t="s">
        <v>85</v>
      </c>
      <c r="E35" s="47" t="s">
        <v>75</v>
      </c>
      <c r="F35" s="47" t="s">
        <v>86</v>
      </c>
      <c r="G35" s="47" t="s">
        <v>8</v>
      </c>
      <c r="H35" s="49" t="b">
        <v>0</v>
      </c>
      <c r="I35" s="49" t="b">
        <v>0</v>
      </c>
      <c r="J35" s="49" t="b">
        <v>0</v>
      </c>
      <c r="K35" s="49" t="b">
        <v>1</v>
      </c>
      <c r="L35" s="49" t="b">
        <v>0</v>
      </c>
      <c r="M35" s="49" t="b">
        <v>0</v>
      </c>
      <c r="N35" s="49" t="b">
        <v>0</v>
      </c>
      <c r="O35" s="49" t="b">
        <v>0</v>
      </c>
      <c r="P35" s="14" t="s">
        <v>23</v>
      </c>
      <c r="Q35" s="49" t="b">
        <v>1</v>
      </c>
      <c r="R35" s="49" t="b">
        <v>1</v>
      </c>
      <c r="S35" s="15" t="b">
        <v>0</v>
      </c>
      <c r="T35" s="15" t="b">
        <v>0</v>
      </c>
      <c r="V35" s="14" t="s">
        <v>106</v>
      </c>
    </row>
    <row r="36" ht="17.25" customHeight="1">
      <c r="A36" s="47" t="s">
        <v>153</v>
      </c>
      <c r="B36" s="48" t="s">
        <v>103</v>
      </c>
      <c r="C36" s="48" t="s">
        <v>103</v>
      </c>
      <c r="D36" s="47" t="s">
        <v>100</v>
      </c>
      <c r="E36" s="47" t="s">
        <v>82</v>
      </c>
      <c r="F36" s="47" t="s">
        <v>86</v>
      </c>
      <c r="G36" s="47" t="s">
        <v>10</v>
      </c>
      <c r="H36" s="49" t="b">
        <v>1</v>
      </c>
      <c r="I36" s="49" t="b">
        <v>0</v>
      </c>
      <c r="J36" s="49" t="b">
        <v>0</v>
      </c>
      <c r="K36" s="49" t="b">
        <v>1</v>
      </c>
      <c r="L36" s="49" t="b">
        <v>1</v>
      </c>
      <c r="M36" s="49" t="b">
        <v>0</v>
      </c>
      <c r="N36" s="49" t="b">
        <v>0</v>
      </c>
      <c r="O36" s="49" t="b">
        <v>0</v>
      </c>
      <c r="P36" s="14" t="s">
        <v>87</v>
      </c>
      <c r="Q36" s="49" t="b">
        <v>1</v>
      </c>
      <c r="R36" s="49" t="b">
        <v>1</v>
      </c>
      <c r="S36" s="15" t="b">
        <v>0</v>
      </c>
      <c r="T36" s="15" t="b">
        <v>0</v>
      </c>
    </row>
    <row r="37" ht="17.25" customHeight="1">
      <c r="A37" s="47" t="s">
        <v>154</v>
      </c>
      <c r="B37" s="48" t="s">
        <v>103</v>
      </c>
      <c r="C37" s="48" t="s">
        <v>103</v>
      </c>
      <c r="D37" s="47" t="s">
        <v>85</v>
      </c>
      <c r="E37" s="47" t="s">
        <v>82</v>
      </c>
      <c r="F37" s="47" t="s">
        <v>86</v>
      </c>
      <c r="G37" s="47" t="s">
        <v>10</v>
      </c>
      <c r="H37" s="49" t="b">
        <v>0</v>
      </c>
      <c r="I37" s="49" t="b">
        <v>0</v>
      </c>
      <c r="J37" s="49" t="b">
        <v>0</v>
      </c>
      <c r="K37" s="49" t="b">
        <v>0</v>
      </c>
      <c r="L37" s="49" t="b">
        <v>0</v>
      </c>
      <c r="M37" s="49" t="b">
        <v>0</v>
      </c>
      <c r="N37" s="49" t="b">
        <v>0</v>
      </c>
      <c r="O37" s="49" t="b">
        <v>0</v>
      </c>
      <c r="P37" s="14" t="s">
        <v>23</v>
      </c>
      <c r="Q37" s="49" t="b">
        <v>1</v>
      </c>
      <c r="R37" s="49" t="b">
        <v>0</v>
      </c>
      <c r="S37" s="15" t="b">
        <v>0</v>
      </c>
      <c r="T37" s="15" t="b">
        <v>0</v>
      </c>
    </row>
    <row r="38" ht="17.25" customHeight="1">
      <c r="A38" s="47" t="s">
        <v>155</v>
      </c>
      <c r="B38" s="48" t="s">
        <v>103</v>
      </c>
      <c r="C38" s="48" t="s">
        <v>103</v>
      </c>
      <c r="D38" s="47" t="s">
        <v>85</v>
      </c>
      <c r="E38" s="47" t="s">
        <v>82</v>
      </c>
      <c r="F38" s="47" t="s">
        <v>86</v>
      </c>
      <c r="G38" s="47" t="s">
        <v>10</v>
      </c>
      <c r="H38" s="49" t="b">
        <v>0</v>
      </c>
      <c r="I38" s="49" t="b">
        <v>1</v>
      </c>
      <c r="J38" s="49" t="b">
        <v>0</v>
      </c>
      <c r="K38" s="49" t="b">
        <v>0</v>
      </c>
      <c r="L38" s="49" t="b">
        <v>0</v>
      </c>
      <c r="M38" s="49" t="b">
        <v>0</v>
      </c>
      <c r="N38" s="49" t="b">
        <v>0</v>
      </c>
      <c r="O38" s="49" t="b">
        <v>0</v>
      </c>
      <c r="P38" s="14" t="s">
        <v>23</v>
      </c>
      <c r="Q38" s="49" t="b">
        <v>1</v>
      </c>
      <c r="R38" s="49" t="b">
        <v>0</v>
      </c>
      <c r="S38" s="15" t="b">
        <v>0</v>
      </c>
      <c r="T38" s="15" t="b">
        <v>0</v>
      </c>
      <c r="V38" s="14"/>
    </row>
    <row r="39" ht="17.25" customHeight="1">
      <c r="A39" s="53" t="s">
        <v>156</v>
      </c>
      <c r="B39" s="48" t="s">
        <v>99</v>
      </c>
      <c r="C39" s="47" t="s">
        <v>95</v>
      </c>
      <c r="D39" s="47" t="s">
        <v>85</v>
      </c>
      <c r="E39" s="47" t="s">
        <v>75</v>
      </c>
      <c r="F39" s="47" t="s">
        <v>86</v>
      </c>
      <c r="G39" s="47" t="s">
        <v>11</v>
      </c>
      <c r="H39" s="49" t="b">
        <v>1</v>
      </c>
      <c r="I39" s="49" t="b">
        <v>0</v>
      </c>
      <c r="J39" s="49" t="b">
        <v>0</v>
      </c>
      <c r="K39" s="49" t="b">
        <v>0</v>
      </c>
      <c r="L39" s="49" t="b">
        <v>0</v>
      </c>
      <c r="M39" s="49" t="b">
        <v>0</v>
      </c>
      <c r="N39" s="49" t="b">
        <v>0</v>
      </c>
      <c r="O39" s="49" t="b">
        <v>0</v>
      </c>
      <c r="P39" s="14" t="s">
        <v>113</v>
      </c>
      <c r="Q39" s="49" t="b">
        <v>1</v>
      </c>
      <c r="R39" s="49" t="b">
        <v>1</v>
      </c>
      <c r="S39" s="15" t="b">
        <v>0</v>
      </c>
      <c r="T39" s="15" t="b">
        <v>0</v>
      </c>
    </row>
    <row r="40" ht="17.25" customHeight="1">
      <c r="A40" s="48" t="s">
        <v>157</v>
      </c>
      <c r="B40" s="48" t="s">
        <v>158</v>
      </c>
      <c r="C40" s="47" t="s">
        <v>95</v>
      </c>
      <c r="D40" s="47" t="s">
        <v>85</v>
      </c>
      <c r="E40" s="47" t="s">
        <v>75</v>
      </c>
      <c r="F40" s="47" t="s">
        <v>86</v>
      </c>
      <c r="G40" s="47" t="s">
        <v>8</v>
      </c>
      <c r="H40" s="49" t="b">
        <v>0</v>
      </c>
      <c r="I40" s="49" t="b">
        <v>0</v>
      </c>
      <c r="J40" s="49" t="b">
        <v>0</v>
      </c>
      <c r="K40" s="49" t="b">
        <v>0</v>
      </c>
      <c r="L40" s="49" t="b">
        <v>0</v>
      </c>
      <c r="M40" s="49" t="b">
        <v>0</v>
      </c>
      <c r="N40" s="49" t="b">
        <v>0</v>
      </c>
      <c r="O40" s="49" t="b">
        <v>0</v>
      </c>
      <c r="P40" s="14" t="s">
        <v>87</v>
      </c>
      <c r="Q40" s="49" t="b">
        <v>0</v>
      </c>
      <c r="R40" s="49" t="b">
        <v>0</v>
      </c>
    </row>
    <row r="41" ht="17.25" customHeight="1">
      <c r="A41" s="47" t="s">
        <v>159</v>
      </c>
      <c r="B41" s="48" t="s">
        <v>103</v>
      </c>
      <c r="C41" s="48" t="s">
        <v>103</v>
      </c>
      <c r="D41" s="47" t="s">
        <v>100</v>
      </c>
      <c r="E41" s="47" t="s">
        <v>82</v>
      </c>
      <c r="F41" s="47" t="s">
        <v>76</v>
      </c>
      <c r="G41" s="47" t="s">
        <v>10</v>
      </c>
      <c r="H41" s="49" t="b">
        <v>1</v>
      </c>
      <c r="I41" s="49" t="b">
        <v>0</v>
      </c>
      <c r="J41" s="49" t="b">
        <v>0</v>
      </c>
      <c r="K41" s="49" t="b">
        <v>1</v>
      </c>
      <c r="L41" s="49" t="b">
        <v>1</v>
      </c>
      <c r="M41" s="49" t="b">
        <v>1</v>
      </c>
      <c r="N41" s="49" t="b">
        <v>1</v>
      </c>
      <c r="O41" s="49" t="b">
        <v>0</v>
      </c>
      <c r="P41" s="14" t="s">
        <v>113</v>
      </c>
      <c r="Q41" s="49" t="b">
        <v>1</v>
      </c>
      <c r="R41" s="49" t="b">
        <v>1</v>
      </c>
      <c r="S41" s="15" t="b">
        <v>0</v>
      </c>
      <c r="T41" s="14" t="b">
        <v>1</v>
      </c>
      <c r="V41" s="14" t="s">
        <v>106</v>
      </c>
    </row>
    <row r="42" ht="17.25" customHeight="1">
      <c r="A42" s="48" t="s">
        <v>160</v>
      </c>
      <c r="B42" s="48" t="s">
        <v>145</v>
      </c>
      <c r="C42" s="47" t="s">
        <v>95</v>
      </c>
      <c r="D42" s="47" t="s">
        <v>90</v>
      </c>
      <c r="E42" s="47" t="s">
        <v>96</v>
      </c>
      <c r="F42" s="47" t="s">
        <v>86</v>
      </c>
      <c r="G42" s="47" t="s">
        <v>11</v>
      </c>
      <c r="H42" s="49" t="b">
        <v>0</v>
      </c>
      <c r="I42" s="49" t="b">
        <v>0</v>
      </c>
      <c r="J42" s="49" t="b">
        <v>0</v>
      </c>
      <c r="K42" s="49" t="b">
        <v>0</v>
      </c>
      <c r="L42" s="15" t="b">
        <v>0</v>
      </c>
      <c r="M42" s="15" t="b">
        <v>0</v>
      </c>
      <c r="N42" s="15" t="b">
        <v>0</v>
      </c>
      <c r="O42" s="15" t="b">
        <v>0</v>
      </c>
      <c r="P42" s="14" t="s">
        <v>23</v>
      </c>
      <c r="Q42" s="49" t="b">
        <v>1</v>
      </c>
      <c r="R42" s="49" t="b">
        <v>1</v>
      </c>
      <c r="S42" s="15" t="b">
        <v>0</v>
      </c>
      <c r="T42" s="15" t="b">
        <v>0</v>
      </c>
    </row>
    <row r="43" ht="17.25" customHeight="1">
      <c r="A43" s="47" t="s">
        <v>161</v>
      </c>
      <c r="B43" s="48" t="s">
        <v>162</v>
      </c>
      <c r="C43" s="47" t="s">
        <v>95</v>
      </c>
      <c r="D43" s="47" t="s">
        <v>85</v>
      </c>
      <c r="E43" s="47" t="s">
        <v>96</v>
      </c>
      <c r="F43" s="47" t="s">
        <v>86</v>
      </c>
      <c r="G43" s="47" t="s">
        <v>11</v>
      </c>
      <c r="H43" s="49" t="b">
        <v>0</v>
      </c>
      <c r="I43" s="49" t="b">
        <v>0</v>
      </c>
      <c r="J43" s="49" t="b">
        <v>0</v>
      </c>
      <c r="K43" s="49" t="b">
        <v>1</v>
      </c>
      <c r="L43" s="49" t="b">
        <v>1</v>
      </c>
      <c r="M43" s="49" t="b">
        <v>0</v>
      </c>
      <c r="N43" s="49" t="b">
        <v>0</v>
      </c>
      <c r="O43" s="49" t="b">
        <v>0</v>
      </c>
      <c r="P43" s="14" t="s">
        <v>23</v>
      </c>
      <c r="Q43" s="49" t="b">
        <v>1</v>
      </c>
      <c r="R43" s="49" t="b">
        <v>1</v>
      </c>
      <c r="S43" s="15" t="b">
        <v>0</v>
      </c>
      <c r="T43" s="15" t="b">
        <v>0</v>
      </c>
      <c r="W43" s="14" t="s">
        <v>163</v>
      </c>
    </row>
    <row r="44" ht="17.25" customHeight="1">
      <c r="A44" s="47" t="s">
        <v>164</v>
      </c>
      <c r="B44" s="48" t="s">
        <v>103</v>
      </c>
      <c r="C44" s="48" t="s">
        <v>103</v>
      </c>
      <c r="D44" s="47" t="s">
        <v>142</v>
      </c>
      <c r="E44" s="47" t="s">
        <v>75</v>
      </c>
      <c r="F44" s="47" t="s">
        <v>86</v>
      </c>
      <c r="G44" s="47" t="s">
        <v>21</v>
      </c>
      <c r="H44" s="49" t="b">
        <v>0</v>
      </c>
      <c r="I44" s="49" t="b">
        <v>0</v>
      </c>
      <c r="J44" s="49" t="b">
        <v>0</v>
      </c>
      <c r="K44" s="49" t="b">
        <v>0</v>
      </c>
      <c r="L44" s="49" t="b">
        <v>0</v>
      </c>
      <c r="M44" s="49" t="b">
        <v>0</v>
      </c>
      <c r="N44" s="49" t="b">
        <v>0</v>
      </c>
      <c r="O44" s="49" t="b">
        <v>0</v>
      </c>
      <c r="P44" s="57"/>
      <c r="Q44" s="49" t="b">
        <v>1</v>
      </c>
      <c r="R44" s="49" t="b">
        <v>0</v>
      </c>
      <c r="S44" s="15" t="b">
        <v>0</v>
      </c>
      <c r="T44" s="15" t="b">
        <v>0</v>
      </c>
      <c r="V44" s="14"/>
      <c r="X44" s="47"/>
      <c r="Y44" s="47"/>
      <c r="Z44" s="47"/>
      <c r="AA44" s="47"/>
      <c r="AB44" s="47"/>
      <c r="AC44" s="47"/>
      <c r="AD44" s="47"/>
      <c r="AE44" s="47"/>
      <c r="AF44" s="47"/>
      <c r="AG44" s="47"/>
      <c r="AH44" s="47"/>
      <c r="AI44" s="47"/>
      <c r="AJ44" s="47"/>
      <c r="AK44" s="47"/>
    </row>
    <row r="45" ht="17.25" customHeight="1">
      <c r="A45" s="47" t="s">
        <v>165</v>
      </c>
      <c r="B45" s="48" t="s">
        <v>166</v>
      </c>
      <c r="C45" s="47" t="s">
        <v>95</v>
      </c>
      <c r="D45" s="47" t="s">
        <v>85</v>
      </c>
      <c r="E45" s="47" t="s">
        <v>75</v>
      </c>
      <c r="F45" s="47" t="s">
        <v>86</v>
      </c>
      <c r="G45" s="47" t="s">
        <v>10</v>
      </c>
      <c r="H45" s="49" t="b">
        <v>1</v>
      </c>
      <c r="I45" s="49" t="b">
        <v>0</v>
      </c>
      <c r="J45" s="49"/>
      <c r="K45" s="49" t="b">
        <v>0</v>
      </c>
      <c r="L45" s="49" t="b">
        <v>0</v>
      </c>
      <c r="M45" s="49" t="b">
        <v>0</v>
      </c>
      <c r="N45" s="49" t="b">
        <v>0</v>
      </c>
      <c r="O45" s="49" t="b">
        <v>0</v>
      </c>
      <c r="P45" s="14" t="s">
        <v>113</v>
      </c>
      <c r="Q45" s="49" t="b">
        <v>0</v>
      </c>
      <c r="R45" s="49" t="b">
        <v>0</v>
      </c>
      <c r="S45" s="47"/>
      <c r="T45" s="47"/>
      <c r="U45" s="47"/>
      <c r="V45" s="47"/>
      <c r="W45" s="47"/>
      <c r="X45" s="47"/>
      <c r="Y45" s="47"/>
      <c r="Z45" s="47"/>
      <c r="AA45" s="47"/>
      <c r="AB45" s="47"/>
      <c r="AC45" s="47"/>
      <c r="AD45" s="47"/>
      <c r="AE45" s="47"/>
      <c r="AF45" s="47"/>
      <c r="AG45" s="47"/>
      <c r="AH45" s="47"/>
      <c r="AI45" s="47"/>
      <c r="AJ45" s="47"/>
      <c r="AK45" s="47"/>
    </row>
    <row r="46" ht="17.25" customHeight="1">
      <c r="A46" s="47" t="s">
        <v>167</v>
      </c>
      <c r="B46" s="48" t="s">
        <v>103</v>
      </c>
      <c r="C46" s="48" t="s">
        <v>103</v>
      </c>
      <c r="D46" s="47" t="s">
        <v>142</v>
      </c>
      <c r="E46" s="47" t="s">
        <v>75</v>
      </c>
      <c r="F46" s="47" t="s">
        <v>86</v>
      </c>
      <c r="G46" s="47" t="s">
        <v>21</v>
      </c>
      <c r="H46" s="49" t="b">
        <v>0</v>
      </c>
      <c r="I46" s="49" t="b">
        <v>0</v>
      </c>
      <c r="J46" s="49" t="b">
        <v>0</v>
      </c>
      <c r="K46" s="49" t="b">
        <v>0</v>
      </c>
      <c r="L46" s="49" t="b">
        <v>0</v>
      </c>
      <c r="M46" s="49" t="b">
        <v>0</v>
      </c>
      <c r="N46" s="49" t="b">
        <v>0</v>
      </c>
      <c r="O46" s="49" t="b">
        <v>0</v>
      </c>
      <c r="P46" s="57"/>
      <c r="Q46" s="49" t="b">
        <v>1</v>
      </c>
      <c r="R46" s="49" t="b">
        <v>1</v>
      </c>
      <c r="S46" s="15" t="b">
        <v>0</v>
      </c>
      <c r="T46" s="15" t="b">
        <v>0</v>
      </c>
      <c r="V46" s="14" t="s">
        <v>106</v>
      </c>
    </row>
    <row r="47" ht="17.25" customHeight="1">
      <c r="A47" s="47" t="s">
        <v>168</v>
      </c>
      <c r="B47" s="48" t="s">
        <v>103</v>
      </c>
      <c r="C47" s="48" t="s">
        <v>103</v>
      </c>
      <c r="D47" s="47" t="s">
        <v>100</v>
      </c>
      <c r="E47" s="47" t="s">
        <v>82</v>
      </c>
      <c r="F47" s="47" t="s">
        <v>76</v>
      </c>
      <c r="G47" s="47" t="s">
        <v>10</v>
      </c>
      <c r="H47" s="49" t="b">
        <v>1</v>
      </c>
      <c r="I47" s="49" t="b">
        <v>0</v>
      </c>
      <c r="J47" s="49" t="b">
        <v>0</v>
      </c>
      <c r="K47" s="49" t="b">
        <v>1</v>
      </c>
      <c r="L47" s="49" t="b">
        <v>1</v>
      </c>
      <c r="M47" s="49" t="b">
        <v>0</v>
      </c>
      <c r="N47" s="49" t="b">
        <v>0</v>
      </c>
      <c r="O47" s="49" t="b">
        <v>0</v>
      </c>
      <c r="P47" s="14" t="s">
        <v>87</v>
      </c>
      <c r="Q47" s="49" t="b">
        <v>1</v>
      </c>
      <c r="R47" s="49" t="b">
        <v>1</v>
      </c>
      <c r="S47" s="15" t="b">
        <v>0</v>
      </c>
      <c r="T47" s="15" t="b">
        <v>0</v>
      </c>
      <c r="V47" s="14" t="s">
        <v>106</v>
      </c>
      <c r="X47" s="47"/>
      <c r="Y47" s="47"/>
      <c r="Z47" s="47"/>
      <c r="AA47" s="47"/>
      <c r="AB47" s="47"/>
      <c r="AC47" s="47"/>
      <c r="AD47" s="47"/>
      <c r="AE47" s="47"/>
      <c r="AF47" s="47"/>
      <c r="AG47" s="47"/>
      <c r="AH47" s="47"/>
      <c r="AI47" s="47"/>
      <c r="AJ47" s="47"/>
      <c r="AK47" s="47"/>
    </row>
    <row r="48" ht="17.25" customHeight="1">
      <c r="A48" s="59" t="s">
        <v>169</v>
      </c>
      <c r="B48" s="48" t="s">
        <v>99</v>
      </c>
      <c r="C48" s="47" t="s">
        <v>95</v>
      </c>
      <c r="D48" s="47" t="s">
        <v>90</v>
      </c>
      <c r="E48" s="47" t="s">
        <v>75</v>
      </c>
      <c r="F48" s="47" t="s">
        <v>86</v>
      </c>
      <c r="G48" s="47" t="s">
        <v>11</v>
      </c>
      <c r="H48" s="49" t="b">
        <v>1</v>
      </c>
      <c r="I48" s="49" t="b">
        <v>0</v>
      </c>
      <c r="J48" s="49" t="b">
        <v>0</v>
      </c>
      <c r="K48" s="49" t="b">
        <v>0</v>
      </c>
      <c r="L48" s="49" t="b">
        <v>0</v>
      </c>
      <c r="M48" s="49" t="b">
        <v>0</v>
      </c>
      <c r="N48" s="49" t="b">
        <v>0</v>
      </c>
      <c r="O48" s="49" t="b">
        <v>0</v>
      </c>
      <c r="P48" s="14" t="s">
        <v>113</v>
      </c>
      <c r="Q48" s="49" t="b">
        <v>1</v>
      </c>
      <c r="R48" s="49" t="b">
        <v>1</v>
      </c>
    </row>
    <row r="49" ht="17.25" customHeight="1">
      <c r="A49" s="47" t="s">
        <v>170</v>
      </c>
      <c r="B49" s="48" t="s">
        <v>171</v>
      </c>
      <c r="C49" s="47" t="s">
        <v>84</v>
      </c>
      <c r="D49" s="47" t="s">
        <v>90</v>
      </c>
      <c r="E49" s="47" t="s">
        <v>101</v>
      </c>
      <c r="F49" s="47" t="s">
        <v>86</v>
      </c>
      <c r="G49" s="47" t="s">
        <v>16</v>
      </c>
      <c r="H49" s="49" t="b">
        <v>0</v>
      </c>
      <c r="I49" s="49" t="b">
        <v>1</v>
      </c>
      <c r="J49" s="49" t="b">
        <v>0</v>
      </c>
      <c r="K49" s="49" t="b">
        <v>0</v>
      </c>
      <c r="L49" s="49" t="b">
        <v>0</v>
      </c>
      <c r="M49" s="49" t="b">
        <v>0</v>
      </c>
      <c r="N49" s="49" t="b">
        <v>0</v>
      </c>
      <c r="O49" s="49" t="b">
        <v>0</v>
      </c>
      <c r="P49" s="14" t="s">
        <v>113</v>
      </c>
      <c r="Q49" s="49" t="b">
        <v>0</v>
      </c>
      <c r="R49" s="49" t="b">
        <v>0</v>
      </c>
      <c r="S49" s="47"/>
      <c r="T49" s="47"/>
      <c r="U49" s="47"/>
      <c r="V49" s="47"/>
      <c r="W49" s="47"/>
    </row>
    <row r="50" ht="17.25" customHeight="1">
      <c r="A50" s="47" t="s">
        <v>172</v>
      </c>
      <c r="B50" s="48" t="s">
        <v>173</v>
      </c>
      <c r="C50" s="47" t="s">
        <v>84</v>
      </c>
      <c r="D50" s="47" t="s">
        <v>174</v>
      </c>
      <c r="E50" s="47" t="s">
        <v>75</v>
      </c>
      <c r="F50" s="47" t="s">
        <v>86</v>
      </c>
      <c r="G50" s="47" t="s">
        <v>16</v>
      </c>
      <c r="H50" s="49" t="b">
        <v>0</v>
      </c>
      <c r="I50" s="49" t="b">
        <v>0</v>
      </c>
      <c r="J50" s="49" t="b">
        <v>0</v>
      </c>
      <c r="K50" s="49" t="b">
        <v>0</v>
      </c>
      <c r="L50" s="49" t="b">
        <v>0</v>
      </c>
      <c r="M50" s="49" t="b">
        <v>0</v>
      </c>
      <c r="N50" s="49" t="b">
        <v>0</v>
      </c>
      <c r="O50" s="49" t="b">
        <v>0</v>
      </c>
      <c r="P50" s="14" t="s">
        <v>23</v>
      </c>
      <c r="Q50" s="49" t="b">
        <v>0</v>
      </c>
      <c r="R50" s="49" t="b">
        <v>0</v>
      </c>
      <c r="S50" s="15" t="b">
        <v>0</v>
      </c>
      <c r="T50" s="15" t="b">
        <v>0</v>
      </c>
      <c r="U50" s="47"/>
      <c r="V50" s="47"/>
      <c r="W50" s="47"/>
    </row>
    <row r="51" ht="17.25" customHeight="1">
      <c r="A51" s="47" t="s">
        <v>175</v>
      </c>
      <c r="B51" s="48" t="s">
        <v>117</v>
      </c>
      <c r="C51" s="47" t="s">
        <v>110</v>
      </c>
      <c r="D51" s="47" t="s">
        <v>85</v>
      </c>
      <c r="E51" s="47" t="s">
        <v>75</v>
      </c>
      <c r="F51" s="47" t="s">
        <v>86</v>
      </c>
      <c r="G51" s="47" t="s">
        <v>8</v>
      </c>
      <c r="H51" s="49" t="b">
        <v>0</v>
      </c>
      <c r="I51" s="49" t="b">
        <v>0</v>
      </c>
      <c r="J51" s="49" t="b">
        <v>0</v>
      </c>
      <c r="K51" s="49" t="b">
        <v>0</v>
      </c>
      <c r="L51" s="49" t="b">
        <v>0</v>
      </c>
      <c r="M51" s="49" t="b">
        <v>0</v>
      </c>
      <c r="N51" s="49" t="b">
        <v>0</v>
      </c>
      <c r="O51" s="49" t="b">
        <v>0</v>
      </c>
      <c r="P51" s="14" t="s">
        <v>87</v>
      </c>
      <c r="Q51" s="49" t="b">
        <v>0</v>
      </c>
      <c r="R51" s="49" t="b">
        <v>0</v>
      </c>
      <c r="S51" s="15" t="b">
        <v>0</v>
      </c>
      <c r="T51" s="15" t="b">
        <v>0</v>
      </c>
    </row>
    <row r="52" ht="17.25" customHeight="1">
      <c r="A52" s="47" t="s">
        <v>176</v>
      </c>
      <c r="B52" s="48" t="s">
        <v>109</v>
      </c>
      <c r="C52" s="47" t="s">
        <v>110</v>
      </c>
      <c r="D52" s="47" t="s">
        <v>90</v>
      </c>
      <c r="E52" s="47" t="s">
        <v>75</v>
      </c>
      <c r="F52" s="47" t="s">
        <v>86</v>
      </c>
      <c r="G52" s="47" t="s">
        <v>8</v>
      </c>
      <c r="H52" s="49" t="b">
        <v>0</v>
      </c>
      <c r="I52" s="49" t="b">
        <v>0</v>
      </c>
      <c r="J52" s="49" t="b">
        <v>0</v>
      </c>
      <c r="K52" s="49" t="b">
        <v>0</v>
      </c>
      <c r="L52" s="49" t="b">
        <v>0</v>
      </c>
      <c r="M52" s="49" t="b">
        <v>0</v>
      </c>
      <c r="N52" s="49" t="b">
        <v>0</v>
      </c>
      <c r="O52" s="49" t="b">
        <v>0</v>
      </c>
      <c r="P52" s="14" t="s">
        <v>87</v>
      </c>
      <c r="Q52" s="49" t="b">
        <v>1</v>
      </c>
      <c r="R52" s="49" t="b">
        <v>1</v>
      </c>
      <c r="S52" s="15" t="b">
        <v>0</v>
      </c>
      <c r="T52" s="15" t="b">
        <v>0</v>
      </c>
      <c r="X52" s="47"/>
      <c r="Y52" s="47"/>
      <c r="Z52" s="47"/>
      <c r="AA52" s="47"/>
      <c r="AB52" s="47"/>
      <c r="AC52" s="47"/>
      <c r="AD52" s="47"/>
      <c r="AE52" s="47"/>
      <c r="AF52" s="47"/>
      <c r="AG52" s="47"/>
      <c r="AH52" s="47"/>
      <c r="AI52" s="47"/>
      <c r="AJ52" s="47"/>
      <c r="AK52" s="47"/>
    </row>
    <row r="53" ht="17.25" customHeight="1">
      <c r="A53" s="47" t="s">
        <v>177</v>
      </c>
      <c r="B53" s="48" t="s">
        <v>109</v>
      </c>
      <c r="C53" s="47" t="s">
        <v>110</v>
      </c>
      <c r="D53" s="47" t="s">
        <v>142</v>
      </c>
      <c r="E53" s="47" t="s">
        <v>75</v>
      </c>
      <c r="F53" s="47" t="s">
        <v>86</v>
      </c>
      <c r="G53" s="47" t="s">
        <v>8</v>
      </c>
      <c r="H53" s="49" t="b">
        <v>0</v>
      </c>
      <c r="I53" s="49" t="b">
        <v>0</v>
      </c>
      <c r="J53" s="49" t="b">
        <v>0</v>
      </c>
      <c r="K53" s="49" t="b">
        <v>0</v>
      </c>
      <c r="L53" s="49" t="b">
        <v>0</v>
      </c>
      <c r="M53" s="49" t="b">
        <v>0</v>
      </c>
      <c r="N53" s="49" t="b">
        <v>0</v>
      </c>
      <c r="O53" s="49" t="b">
        <v>0</v>
      </c>
      <c r="P53" s="14" t="s">
        <v>23</v>
      </c>
      <c r="Q53" s="49" t="b">
        <v>1</v>
      </c>
      <c r="R53" s="49" t="b">
        <v>1</v>
      </c>
      <c r="S53" s="15" t="b">
        <v>0</v>
      </c>
      <c r="T53" s="15" t="b">
        <v>0</v>
      </c>
      <c r="V53" s="14" t="s">
        <v>106</v>
      </c>
    </row>
    <row r="54" ht="17.25" customHeight="1">
      <c r="A54" s="47" t="s">
        <v>178</v>
      </c>
      <c r="B54" s="48" t="s">
        <v>179</v>
      </c>
      <c r="C54" s="47" t="s">
        <v>84</v>
      </c>
      <c r="D54" s="47" t="s">
        <v>85</v>
      </c>
      <c r="E54" s="47" t="s">
        <v>75</v>
      </c>
      <c r="F54" s="47" t="s">
        <v>86</v>
      </c>
      <c r="G54" s="47" t="s">
        <v>16</v>
      </c>
      <c r="H54" s="49" t="b">
        <v>0</v>
      </c>
      <c r="I54" s="49" t="b">
        <v>0</v>
      </c>
      <c r="J54" s="49" t="b">
        <v>0</v>
      </c>
      <c r="K54" s="49" t="b">
        <v>0</v>
      </c>
      <c r="L54" s="49" t="b">
        <v>0</v>
      </c>
      <c r="M54" s="49" t="b">
        <v>0</v>
      </c>
      <c r="N54" s="49" t="b">
        <v>0</v>
      </c>
      <c r="O54" s="49" t="b">
        <v>0</v>
      </c>
      <c r="P54" s="14" t="s">
        <v>113</v>
      </c>
      <c r="Q54" s="49" t="b">
        <v>0</v>
      </c>
      <c r="R54" s="49" t="b">
        <v>0</v>
      </c>
      <c r="S54" s="15" t="b">
        <v>0</v>
      </c>
      <c r="T54" s="15" t="b">
        <v>0</v>
      </c>
    </row>
    <row r="55" ht="17.25" customHeight="1">
      <c r="A55" s="47" t="s">
        <v>180</v>
      </c>
      <c r="B55" s="48" t="s">
        <v>103</v>
      </c>
      <c r="C55" s="48" t="s">
        <v>103</v>
      </c>
      <c r="D55" s="47" t="s">
        <v>74</v>
      </c>
      <c r="E55" s="47" t="s">
        <v>82</v>
      </c>
      <c r="F55" s="47" t="s">
        <v>76</v>
      </c>
      <c r="G55" s="47" t="s">
        <v>10</v>
      </c>
      <c r="H55" s="49" t="b">
        <v>0</v>
      </c>
      <c r="I55" s="49" t="b">
        <v>0</v>
      </c>
      <c r="J55" s="49" t="b">
        <v>0</v>
      </c>
      <c r="K55" s="49" t="b">
        <v>0</v>
      </c>
      <c r="L55" s="49" t="b">
        <v>0</v>
      </c>
      <c r="M55" s="49" t="b">
        <v>1</v>
      </c>
      <c r="N55" s="49" t="b">
        <v>0</v>
      </c>
      <c r="O55" s="49" t="b">
        <v>1</v>
      </c>
      <c r="P55" s="14" t="s">
        <v>23</v>
      </c>
      <c r="Q55" s="49" t="b">
        <v>1</v>
      </c>
      <c r="R55" s="49" t="b">
        <v>1</v>
      </c>
      <c r="S55" s="15" t="b">
        <v>0</v>
      </c>
      <c r="T55" s="15" t="b">
        <v>0</v>
      </c>
      <c r="V55" s="14" t="s">
        <v>106</v>
      </c>
    </row>
    <row r="56" ht="17.25" customHeight="1">
      <c r="A56" s="50" t="s">
        <v>181</v>
      </c>
      <c r="B56" s="48" t="s">
        <v>72</v>
      </c>
      <c r="C56" s="48" t="s">
        <v>72</v>
      </c>
      <c r="D56" s="47" t="s">
        <v>182</v>
      </c>
      <c r="E56" s="47" t="s">
        <v>96</v>
      </c>
      <c r="F56" s="47" t="s">
        <v>86</v>
      </c>
      <c r="G56" s="47" t="s">
        <v>16</v>
      </c>
      <c r="H56" s="49" t="b">
        <v>0</v>
      </c>
      <c r="I56" s="49" t="b">
        <v>1</v>
      </c>
      <c r="J56" s="49" t="b">
        <v>0</v>
      </c>
      <c r="K56" s="49" t="b">
        <v>0</v>
      </c>
      <c r="L56" s="49" t="b">
        <v>0</v>
      </c>
      <c r="M56" s="49" t="b">
        <v>0</v>
      </c>
      <c r="N56" s="49" t="b">
        <v>0</v>
      </c>
      <c r="O56" s="49" t="b">
        <v>1</v>
      </c>
      <c r="P56" s="14" t="s">
        <v>138</v>
      </c>
      <c r="Q56" s="49" t="b">
        <v>0</v>
      </c>
      <c r="R56" s="49" t="b">
        <v>0</v>
      </c>
      <c r="S56" s="15" t="b">
        <v>0</v>
      </c>
      <c r="T56" s="15" t="b">
        <v>0</v>
      </c>
      <c r="V56" s="47"/>
      <c r="W56" s="47" t="s">
        <v>183</v>
      </c>
    </row>
    <row r="57" ht="17.25" customHeight="1">
      <c r="A57" s="60" t="s">
        <v>184</v>
      </c>
      <c r="B57" s="48" t="s">
        <v>80</v>
      </c>
      <c r="C57" s="47" t="s">
        <v>95</v>
      </c>
      <c r="D57" s="47" t="s">
        <v>74</v>
      </c>
      <c r="E57" s="47" t="s">
        <v>75</v>
      </c>
      <c r="F57" s="47" t="s">
        <v>76</v>
      </c>
      <c r="G57" s="47" t="s">
        <v>21</v>
      </c>
      <c r="H57" s="49" t="b">
        <v>0</v>
      </c>
      <c r="I57" s="49" t="b">
        <v>0</v>
      </c>
      <c r="J57" s="49" t="b">
        <v>0</v>
      </c>
      <c r="K57" s="49" t="b">
        <v>1</v>
      </c>
      <c r="L57" s="49" t="b">
        <v>0</v>
      </c>
      <c r="M57" s="49" t="b">
        <v>1</v>
      </c>
      <c r="N57" s="49" t="b">
        <v>0</v>
      </c>
      <c r="O57" s="49" t="b">
        <v>1</v>
      </c>
      <c r="P57" s="14" t="s">
        <v>134</v>
      </c>
      <c r="Q57" s="49" t="b">
        <v>1</v>
      </c>
      <c r="R57" s="49" t="b">
        <v>1</v>
      </c>
      <c r="S57" s="15" t="b">
        <v>0</v>
      </c>
      <c r="T57" s="14" t="b">
        <v>1</v>
      </c>
    </row>
    <row r="58" ht="17.25" customHeight="1">
      <c r="A58" s="47" t="s">
        <v>185</v>
      </c>
      <c r="B58" s="48" t="s">
        <v>109</v>
      </c>
      <c r="C58" s="47" t="s">
        <v>110</v>
      </c>
      <c r="D58" s="47" t="s">
        <v>74</v>
      </c>
      <c r="E58" s="47" t="s">
        <v>75</v>
      </c>
      <c r="F58" s="47" t="s">
        <v>76</v>
      </c>
      <c r="G58" s="47" t="s">
        <v>8</v>
      </c>
      <c r="H58" s="49" t="b">
        <v>0</v>
      </c>
      <c r="I58" s="49" t="b">
        <v>0</v>
      </c>
      <c r="J58" s="49" t="b">
        <v>0</v>
      </c>
      <c r="K58" s="49" t="b">
        <v>0</v>
      </c>
      <c r="L58" s="49" t="b">
        <v>0</v>
      </c>
      <c r="M58" s="49" t="b">
        <v>1</v>
      </c>
      <c r="N58" s="49" t="b">
        <v>0</v>
      </c>
      <c r="O58" s="49" t="b">
        <v>0</v>
      </c>
      <c r="P58" s="14" t="s">
        <v>87</v>
      </c>
      <c r="Q58" s="49" t="b">
        <v>1</v>
      </c>
      <c r="R58" s="49" t="b">
        <v>1</v>
      </c>
      <c r="S58" s="15" t="b">
        <v>0</v>
      </c>
      <c r="T58" s="15" t="b">
        <v>0</v>
      </c>
      <c r="V58" s="14" t="s">
        <v>106</v>
      </c>
      <c r="X58" s="61"/>
      <c r="Y58" s="61"/>
      <c r="Z58" s="61"/>
      <c r="AA58" s="61"/>
      <c r="AB58" s="61"/>
      <c r="AC58" s="61"/>
      <c r="AD58" s="61"/>
      <c r="AE58" s="61"/>
      <c r="AF58" s="61"/>
      <c r="AG58" s="61"/>
      <c r="AH58" s="61"/>
      <c r="AI58" s="61"/>
      <c r="AJ58" s="61"/>
      <c r="AK58" s="61"/>
    </row>
    <row r="59" ht="17.25" customHeight="1">
      <c r="A59" s="59" t="s">
        <v>186</v>
      </c>
      <c r="B59" s="48" t="s">
        <v>99</v>
      </c>
      <c r="C59" s="47" t="s">
        <v>95</v>
      </c>
      <c r="D59" s="47" t="s">
        <v>90</v>
      </c>
      <c r="E59" s="47" t="s">
        <v>75</v>
      </c>
      <c r="F59" s="47" t="s">
        <v>86</v>
      </c>
      <c r="G59" s="47" t="s">
        <v>11</v>
      </c>
      <c r="H59" s="49" t="b">
        <v>1</v>
      </c>
      <c r="I59" s="49" t="b">
        <v>0</v>
      </c>
      <c r="J59" s="49" t="b">
        <v>0</v>
      </c>
      <c r="K59" s="49" t="b">
        <v>0</v>
      </c>
      <c r="L59" s="49" t="b">
        <v>0</v>
      </c>
      <c r="M59" s="49" t="b">
        <v>0</v>
      </c>
      <c r="N59" s="49" t="b">
        <v>0</v>
      </c>
      <c r="O59" s="49" t="b">
        <v>0</v>
      </c>
      <c r="P59" s="14" t="s">
        <v>113</v>
      </c>
      <c r="Q59" s="49" t="b">
        <v>1</v>
      </c>
      <c r="R59" s="49" t="b">
        <v>1</v>
      </c>
    </row>
    <row r="60" ht="17.25" customHeight="1">
      <c r="A60" s="47" t="s">
        <v>187</v>
      </c>
      <c r="B60" s="48" t="s">
        <v>109</v>
      </c>
      <c r="C60" s="47" t="s">
        <v>110</v>
      </c>
      <c r="D60" s="47" t="s">
        <v>85</v>
      </c>
      <c r="E60" s="47" t="s">
        <v>75</v>
      </c>
      <c r="F60" s="47" t="s">
        <v>86</v>
      </c>
      <c r="G60" s="47" t="s">
        <v>8</v>
      </c>
      <c r="H60" s="49" t="b">
        <v>1</v>
      </c>
      <c r="I60" s="49" t="b">
        <v>0</v>
      </c>
      <c r="J60" s="49" t="b">
        <v>0</v>
      </c>
      <c r="K60" s="49" t="b">
        <v>0</v>
      </c>
      <c r="L60" s="49" t="b">
        <v>0</v>
      </c>
      <c r="M60" s="49" t="b">
        <v>0</v>
      </c>
      <c r="N60" s="49" t="b">
        <v>0</v>
      </c>
      <c r="O60" s="49" t="b">
        <v>0</v>
      </c>
      <c r="P60" s="14" t="s">
        <v>78</v>
      </c>
      <c r="Q60" s="49" t="b">
        <v>1</v>
      </c>
      <c r="R60" s="49" t="b">
        <v>1</v>
      </c>
      <c r="S60" s="15" t="b">
        <v>0</v>
      </c>
      <c r="T60" s="15" t="b">
        <v>0</v>
      </c>
      <c r="V60" s="14" t="s">
        <v>106</v>
      </c>
    </row>
    <row r="61" ht="17.25" customHeight="1">
      <c r="A61" s="47" t="s">
        <v>188</v>
      </c>
      <c r="B61" s="48" t="s">
        <v>80</v>
      </c>
      <c r="C61" s="47" t="s">
        <v>95</v>
      </c>
      <c r="D61" s="47" t="s">
        <v>100</v>
      </c>
      <c r="E61" s="47" t="s">
        <v>101</v>
      </c>
      <c r="F61" s="47" t="s">
        <v>76</v>
      </c>
      <c r="G61" s="47" t="s">
        <v>11</v>
      </c>
      <c r="H61" s="49" t="b">
        <v>0</v>
      </c>
      <c r="I61" s="49" t="b">
        <v>0</v>
      </c>
      <c r="J61" s="49" t="b">
        <v>0</v>
      </c>
      <c r="K61" s="49" t="b">
        <v>0</v>
      </c>
      <c r="L61" s="49" t="b">
        <v>0</v>
      </c>
      <c r="M61" s="49" t="b">
        <v>1</v>
      </c>
      <c r="N61" s="49" t="b">
        <v>0</v>
      </c>
      <c r="O61" s="49" t="b">
        <v>0</v>
      </c>
      <c r="P61" s="14" t="s">
        <v>23</v>
      </c>
      <c r="Q61" s="49" t="b">
        <v>1</v>
      </c>
      <c r="R61" s="49" t="b">
        <v>1</v>
      </c>
      <c r="S61" s="15" t="b">
        <v>0</v>
      </c>
      <c r="T61" s="15" t="b">
        <v>0</v>
      </c>
      <c r="X61" s="46"/>
      <c r="Y61" s="46"/>
      <c r="Z61" s="46"/>
      <c r="AA61" s="46"/>
      <c r="AB61" s="46"/>
      <c r="AC61" s="46"/>
      <c r="AD61" s="46"/>
      <c r="AE61" s="46"/>
      <c r="AF61" s="46"/>
      <c r="AG61" s="46"/>
      <c r="AH61" s="46"/>
      <c r="AI61" s="46"/>
      <c r="AJ61" s="46"/>
      <c r="AK61" s="46"/>
    </row>
    <row r="62" ht="17.25" customHeight="1">
      <c r="A62" s="47" t="s">
        <v>189</v>
      </c>
      <c r="B62" s="48" t="s">
        <v>151</v>
      </c>
      <c r="C62" s="47" t="s">
        <v>95</v>
      </c>
      <c r="D62" s="47" t="s">
        <v>85</v>
      </c>
      <c r="E62" s="47" t="s">
        <v>75</v>
      </c>
      <c r="F62" s="47" t="s">
        <v>86</v>
      </c>
      <c r="G62" s="47" t="s">
        <v>10</v>
      </c>
      <c r="H62" s="49" t="b">
        <v>1</v>
      </c>
      <c r="I62" s="49" t="b">
        <v>0</v>
      </c>
      <c r="J62" s="49"/>
      <c r="K62" s="49" t="b">
        <v>0</v>
      </c>
      <c r="L62" s="49" t="b">
        <v>0</v>
      </c>
      <c r="M62" s="49" t="b">
        <v>0</v>
      </c>
      <c r="N62" s="49" t="b">
        <v>0</v>
      </c>
      <c r="O62" s="49" t="b">
        <v>0</v>
      </c>
      <c r="P62" s="14" t="s">
        <v>113</v>
      </c>
      <c r="Q62" s="49" t="b">
        <v>0</v>
      </c>
      <c r="R62" s="49" t="b">
        <v>0</v>
      </c>
      <c r="S62" s="15" t="b">
        <v>0</v>
      </c>
      <c r="T62" s="15" t="b">
        <v>0</v>
      </c>
      <c r="V62" s="14"/>
      <c r="X62" s="46"/>
      <c r="Y62" s="46"/>
      <c r="Z62" s="46"/>
      <c r="AA62" s="46"/>
      <c r="AB62" s="46"/>
      <c r="AC62" s="46"/>
      <c r="AD62" s="46"/>
      <c r="AE62" s="46"/>
      <c r="AF62" s="46"/>
      <c r="AG62" s="46"/>
      <c r="AH62" s="46"/>
      <c r="AI62" s="46"/>
      <c r="AJ62" s="46"/>
      <c r="AK62" s="46"/>
    </row>
    <row r="63" ht="17.25" customHeight="1">
      <c r="A63" s="45" t="s">
        <v>190</v>
      </c>
      <c r="B63" s="45" t="s">
        <v>72</v>
      </c>
      <c r="C63" s="45" t="s">
        <v>73</v>
      </c>
      <c r="D63" s="45" t="s">
        <v>74</v>
      </c>
      <c r="E63" s="42" t="s">
        <v>82</v>
      </c>
      <c r="F63" s="42" t="s">
        <v>76</v>
      </c>
      <c r="G63" s="42" t="s">
        <v>191</v>
      </c>
      <c r="H63" s="44" t="b">
        <v>1</v>
      </c>
      <c r="I63" s="44" t="b">
        <v>0</v>
      </c>
      <c r="J63" s="44" t="b">
        <v>0</v>
      </c>
      <c r="K63" s="44" t="b">
        <v>0</v>
      </c>
      <c r="L63" s="44" t="b">
        <v>0</v>
      </c>
      <c r="M63" s="44" t="b">
        <v>0</v>
      </c>
      <c r="N63" s="44" t="b">
        <v>0</v>
      </c>
      <c r="O63" s="44" t="b">
        <v>0</v>
      </c>
      <c r="P63" s="45" t="s">
        <v>78</v>
      </c>
      <c r="Q63" s="44" t="b">
        <v>0</v>
      </c>
      <c r="R63" s="44" t="b">
        <v>0</v>
      </c>
      <c r="S63" s="46" t="b">
        <v>0</v>
      </c>
      <c r="T63" s="46" t="b">
        <v>0</v>
      </c>
      <c r="U63" s="46"/>
      <c r="V63" s="45" t="s">
        <v>106</v>
      </c>
      <c r="W63" s="46"/>
      <c r="X63" s="47"/>
      <c r="Y63" s="47"/>
      <c r="Z63" s="47"/>
      <c r="AA63" s="47"/>
      <c r="AB63" s="47"/>
      <c r="AC63" s="47"/>
      <c r="AD63" s="47"/>
      <c r="AE63" s="47"/>
      <c r="AF63" s="47"/>
      <c r="AG63" s="47"/>
      <c r="AH63" s="47"/>
      <c r="AI63" s="47"/>
      <c r="AJ63" s="47"/>
      <c r="AK63" s="47"/>
    </row>
    <row r="64" ht="17.25" customHeight="1">
      <c r="A64" s="14" t="s">
        <v>192</v>
      </c>
      <c r="B64" s="14" t="s">
        <v>72</v>
      </c>
      <c r="C64" s="14" t="s">
        <v>72</v>
      </c>
      <c r="D64" s="47" t="s">
        <v>122</v>
      </c>
      <c r="E64" s="47" t="s">
        <v>101</v>
      </c>
      <c r="F64" s="47" t="s">
        <v>86</v>
      </c>
      <c r="G64" s="47" t="s">
        <v>15</v>
      </c>
      <c r="H64" s="49" t="b">
        <v>1</v>
      </c>
      <c r="I64" s="49" t="b">
        <v>1</v>
      </c>
      <c r="J64" s="49" t="s">
        <v>193</v>
      </c>
      <c r="K64" s="49" t="b">
        <v>0</v>
      </c>
      <c r="L64" s="49" t="b">
        <v>0</v>
      </c>
      <c r="M64" s="49" t="b">
        <v>0</v>
      </c>
      <c r="N64" s="49" t="b">
        <v>0</v>
      </c>
      <c r="O64" s="49" t="b">
        <v>0</v>
      </c>
      <c r="P64" s="14" t="s">
        <v>113</v>
      </c>
      <c r="Q64" s="49" t="b">
        <v>0</v>
      </c>
      <c r="R64" s="49" t="b">
        <v>0</v>
      </c>
      <c r="S64" s="15" t="b">
        <v>0</v>
      </c>
      <c r="T64" s="15" t="b">
        <v>0</v>
      </c>
      <c r="U64" s="14" t="s">
        <v>194</v>
      </c>
      <c r="V64" s="14"/>
      <c r="W64" s="14" t="s">
        <v>195</v>
      </c>
      <c r="X64" s="47"/>
      <c r="Y64" s="47"/>
      <c r="Z64" s="47"/>
      <c r="AA64" s="47"/>
      <c r="AB64" s="47"/>
      <c r="AC64" s="47"/>
      <c r="AD64" s="47"/>
      <c r="AE64" s="47"/>
      <c r="AF64" s="47"/>
      <c r="AG64" s="47"/>
      <c r="AH64" s="47"/>
      <c r="AI64" s="47"/>
      <c r="AJ64" s="47"/>
      <c r="AK64" s="47"/>
    </row>
    <row r="65" ht="17.25" customHeight="1">
      <c r="A65" s="47" t="s">
        <v>196</v>
      </c>
      <c r="B65" s="48" t="s">
        <v>80</v>
      </c>
      <c r="C65" s="47" t="s">
        <v>95</v>
      </c>
      <c r="D65" s="47" t="s">
        <v>90</v>
      </c>
      <c r="E65" s="47" t="s">
        <v>75</v>
      </c>
      <c r="F65" s="47" t="s">
        <v>86</v>
      </c>
      <c r="G65" s="47" t="s">
        <v>8</v>
      </c>
      <c r="H65" s="49" t="b">
        <v>0</v>
      </c>
      <c r="I65" s="49" t="b">
        <v>0</v>
      </c>
      <c r="J65" s="49"/>
      <c r="K65" s="49" t="b">
        <v>0</v>
      </c>
      <c r="L65" s="49" t="b">
        <v>0</v>
      </c>
      <c r="M65" s="49" t="b">
        <v>0</v>
      </c>
      <c r="N65" s="49" t="b">
        <v>0</v>
      </c>
      <c r="O65" s="49" t="b">
        <v>0</v>
      </c>
      <c r="P65" s="14" t="s">
        <v>23</v>
      </c>
      <c r="Q65" s="49" t="b">
        <v>1</v>
      </c>
      <c r="R65" s="49" t="b">
        <v>0</v>
      </c>
      <c r="S65" s="15" t="b">
        <v>0</v>
      </c>
      <c r="T65" s="15" t="b">
        <v>0</v>
      </c>
    </row>
    <row r="66" ht="17.25" customHeight="1">
      <c r="A66" s="47" t="s">
        <v>197</v>
      </c>
      <c r="B66" s="48" t="s">
        <v>80</v>
      </c>
      <c r="C66" s="47" t="s">
        <v>73</v>
      </c>
      <c r="D66" s="47" t="s">
        <v>142</v>
      </c>
      <c r="E66" s="47" t="s">
        <v>75</v>
      </c>
      <c r="F66" s="47" t="s">
        <v>86</v>
      </c>
      <c r="G66" s="47" t="s">
        <v>21</v>
      </c>
      <c r="H66" s="49" t="b">
        <v>0</v>
      </c>
      <c r="I66" s="49" t="b">
        <v>0</v>
      </c>
      <c r="J66" s="49"/>
      <c r="K66" s="49" t="b">
        <v>0</v>
      </c>
      <c r="L66" s="49" t="b">
        <v>0</v>
      </c>
      <c r="M66" s="49" t="b">
        <v>0</v>
      </c>
      <c r="N66" s="49" t="b">
        <v>0</v>
      </c>
      <c r="O66" s="49" t="b">
        <v>0</v>
      </c>
      <c r="P66" s="57"/>
      <c r="Q66" s="49" t="b">
        <v>0</v>
      </c>
      <c r="R66" s="49" t="b">
        <v>0</v>
      </c>
      <c r="S66" s="15" t="b">
        <v>0</v>
      </c>
      <c r="T66" s="15" t="b">
        <v>0</v>
      </c>
    </row>
    <row r="67" ht="17.25" customHeight="1">
      <c r="A67" s="47" t="s">
        <v>198</v>
      </c>
      <c r="B67" s="48" t="s">
        <v>199</v>
      </c>
      <c r="C67" s="47" t="s">
        <v>84</v>
      </c>
      <c r="D67" s="47" t="s">
        <v>90</v>
      </c>
      <c r="E67" s="47" t="s">
        <v>101</v>
      </c>
      <c r="F67" s="47" t="s">
        <v>86</v>
      </c>
      <c r="G67" s="47" t="s">
        <v>16</v>
      </c>
      <c r="H67" s="49" t="b">
        <v>0</v>
      </c>
      <c r="I67" s="49" t="b">
        <v>0</v>
      </c>
      <c r="J67" s="49" t="b">
        <v>0</v>
      </c>
      <c r="K67" s="49" t="b">
        <v>0</v>
      </c>
      <c r="L67" s="49" t="b">
        <v>0</v>
      </c>
      <c r="M67" s="49" t="b">
        <v>0</v>
      </c>
      <c r="N67" s="49" t="b">
        <v>0</v>
      </c>
      <c r="O67" s="49" t="b">
        <v>0</v>
      </c>
      <c r="P67" s="14" t="s">
        <v>134</v>
      </c>
      <c r="Q67" s="49" t="b">
        <v>0</v>
      </c>
      <c r="R67" s="49" t="b">
        <v>0</v>
      </c>
      <c r="S67" s="47"/>
      <c r="T67" s="47"/>
      <c r="U67" s="47"/>
      <c r="V67" s="47"/>
      <c r="W67" s="47" t="s">
        <v>200</v>
      </c>
      <c r="X67" s="47"/>
      <c r="Y67" s="47"/>
      <c r="Z67" s="47"/>
      <c r="AA67" s="47"/>
      <c r="AB67" s="47"/>
      <c r="AC67" s="47"/>
      <c r="AD67" s="47"/>
      <c r="AE67" s="47"/>
      <c r="AF67" s="47"/>
      <c r="AG67" s="47"/>
      <c r="AH67" s="47"/>
      <c r="AI67" s="47"/>
      <c r="AJ67" s="47"/>
      <c r="AK67" s="47"/>
    </row>
    <row r="68" ht="17.25" customHeight="1">
      <c r="A68" s="47" t="s">
        <v>201</v>
      </c>
      <c r="B68" s="48" t="s">
        <v>72</v>
      </c>
      <c r="C68" s="48" t="s">
        <v>72</v>
      </c>
      <c r="D68" s="47" t="s">
        <v>122</v>
      </c>
      <c r="E68" s="47" t="s">
        <v>82</v>
      </c>
      <c r="F68" s="47" t="s">
        <v>86</v>
      </c>
      <c r="G68" s="47" t="s">
        <v>16</v>
      </c>
      <c r="H68" s="49" t="b">
        <v>1</v>
      </c>
      <c r="I68" s="49" t="b">
        <v>1</v>
      </c>
      <c r="J68" s="49" t="b">
        <v>0</v>
      </c>
      <c r="K68" s="49" t="b">
        <v>0</v>
      </c>
      <c r="L68" s="49" t="b">
        <v>0</v>
      </c>
      <c r="M68" s="49" t="b">
        <v>0</v>
      </c>
      <c r="N68" s="49" t="b">
        <v>0</v>
      </c>
      <c r="O68" s="49" t="b">
        <v>0</v>
      </c>
      <c r="P68" s="14" t="s">
        <v>87</v>
      </c>
      <c r="Q68" s="49" t="b">
        <v>0</v>
      </c>
      <c r="R68" s="49" t="b">
        <v>0</v>
      </c>
      <c r="S68" s="49"/>
      <c r="T68" s="47"/>
      <c r="U68" s="47"/>
      <c r="V68" s="47"/>
      <c r="W68" s="47"/>
    </row>
    <row r="69" ht="17.25" customHeight="1">
      <c r="A69" s="47" t="s">
        <v>202</v>
      </c>
      <c r="B69" s="48" t="s">
        <v>109</v>
      </c>
      <c r="C69" s="47" t="s">
        <v>110</v>
      </c>
      <c r="D69" s="47" t="s">
        <v>85</v>
      </c>
      <c r="E69" s="47" t="s">
        <v>75</v>
      </c>
      <c r="F69" s="47" t="s">
        <v>86</v>
      </c>
      <c r="G69" s="47" t="s">
        <v>8</v>
      </c>
      <c r="H69" s="49" t="b">
        <v>0</v>
      </c>
      <c r="I69" s="49" t="b">
        <v>0</v>
      </c>
      <c r="J69" s="49"/>
      <c r="K69" s="49" t="b">
        <v>0</v>
      </c>
      <c r="L69" s="49" t="b">
        <v>0</v>
      </c>
      <c r="M69" s="49" t="b">
        <v>0</v>
      </c>
      <c r="N69" s="49" t="b">
        <v>0</v>
      </c>
      <c r="O69" s="49" t="b">
        <v>0</v>
      </c>
      <c r="P69" s="14" t="s">
        <v>23</v>
      </c>
      <c r="Q69" s="49" t="b">
        <v>0</v>
      </c>
      <c r="R69" s="49" t="b">
        <v>0</v>
      </c>
      <c r="S69" s="15" t="b">
        <v>0</v>
      </c>
      <c r="T69" s="15" t="b">
        <v>0</v>
      </c>
      <c r="V69" s="14"/>
      <c r="X69" s="42"/>
      <c r="Y69" s="42"/>
      <c r="Z69" s="42"/>
      <c r="AA69" s="42"/>
      <c r="AB69" s="42"/>
      <c r="AC69" s="42"/>
      <c r="AD69" s="42"/>
      <c r="AE69" s="42"/>
      <c r="AF69" s="42"/>
      <c r="AG69" s="42"/>
      <c r="AH69" s="42"/>
      <c r="AI69" s="42"/>
      <c r="AJ69" s="42"/>
      <c r="AK69" s="42"/>
    </row>
    <row r="70" ht="17.25" customHeight="1">
      <c r="A70" s="42" t="s">
        <v>203</v>
      </c>
      <c r="B70" s="43" t="s">
        <v>72</v>
      </c>
      <c r="C70" s="42" t="s">
        <v>72</v>
      </c>
      <c r="D70" s="42" t="s">
        <v>90</v>
      </c>
      <c r="E70" s="42" t="s">
        <v>82</v>
      </c>
      <c r="F70" s="42" t="s">
        <v>86</v>
      </c>
      <c r="G70" s="42" t="s">
        <v>131</v>
      </c>
      <c r="H70" s="44" t="b">
        <v>0</v>
      </c>
      <c r="I70" s="44" t="b">
        <v>0</v>
      </c>
      <c r="J70" s="44"/>
      <c r="K70" s="44" t="b">
        <v>0</v>
      </c>
      <c r="L70" s="44" t="b">
        <v>0</v>
      </c>
      <c r="M70" s="44" t="b">
        <v>0</v>
      </c>
      <c r="N70" s="44" t="b">
        <v>0</v>
      </c>
      <c r="O70" s="44" t="b">
        <v>1</v>
      </c>
      <c r="P70" s="45" t="s">
        <v>113</v>
      </c>
      <c r="Q70" s="44" t="b">
        <v>0</v>
      </c>
      <c r="R70" s="44" t="b">
        <v>0</v>
      </c>
      <c r="S70" s="46" t="b">
        <v>0</v>
      </c>
      <c r="T70" s="46" t="b">
        <v>0</v>
      </c>
      <c r="U70" s="46"/>
      <c r="V70" s="45" t="s">
        <v>106</v>
      </c>
      <c r="W70" s="46"/>
    </row>
    <row r="71" ht="17.25" customHeight="1">
      <c r="A71" s="50" t="s">
        <v>204</v>
      </c>
      <c r="B71" s="48" t="s">
        <v>72</v>
      </c>
      <c r="C71" s="47" t="s">
        <v>72</v>
      </c>
      <c r="D71" s="47" t="s">
        <v>205</v>
      </c>
      <c r="E71" s="47" t="s">
        <v>75</v>
      </c>
      <c r="F71" s="47" t="s">
        <v>86</v>
      </c>
      <c r="G71" s="47" t="s">
        <v>8</v>
      </c>
      <c r="H71" s="49" t="b">
        <v>0</v>
      </c>
      <c r="I71" s="49" t="b">
        <v>0</v>
      </c>
      <c r="J71" s="49"/>
      <c r="K71" s="49" t="b">
        <v>0</v>
      </c>
      <c r="L71" s="49" t="b">
        <v>0</v>
      </c>
      <c r="M71" s="49" t="b">
        <v>0</v>
      </c>
      <c r="N71" s="49" t="b">
        <v>0</v>
      </c>
      <c r="O71" s="49" t="b">
        <v>0</v>
      </c>
      <c r="P71" s="14" t="s">
        <v>23</v>
      </c>
      <c r="Q71" s="49" t="b">
        <v>0</v>
      </c>
      <c r="R71" s="49" t="b">
        <v>0</v>
      </c>
      <c r="S71" s="15" t="b">
        <v>0</v>
      </c>
      <c r="T71" s="15" t="b">
        <v>0</v>
      </c>
      <c r="U71" s="47"/>
      <c r="V71" s="47"/>
      <c r="W71" s="47"/>
      <c r="X71" s="47"/>
      <c r="Y71" s="47"/>
      <c r="Z71" s="47"/>
      <c r="AA71" s="47"/>
      <c r="AB71" s="47"/>
      <c r="AC71" s="47"/>
      <c r="AD71" s="47"/>
      <c r="AE71" s="47"/>
      <c r="AF71" s="47"/>
      <c r="AG71" s="47"/>
      <c r="AH71" s="47"/>
      <c r="AI71" s="47"/>
      <c r="AJ71" s="47"/>
      <c r="AK71" s="47"/>
    </row>
    <row r="72" ht="17.25" customHeight="1">
      <c r="A72" s="47" t="s">
        <v>206</v>
      </c>
      <c r="B72" s="48" t="s">
        <v>103</v>
      </c>
      <c r="C72" s="47" t="s">
        <v>103</v>
      </c>
      <c r="D72" s="47" t="s">
        <v>85</v>
      </c>
      <c r="E72" s="47" t="s">
        <v>96</v>
      </c>
      <c r="F72" s="47" t="s">
        <v>86</v>
      </c>
      <c r="G72" s="47" t="s">
        <v>10</v>
      </c>
      <c r="H72" s="49" t="b">
        <v>0</v>
      </c>
      <c r="I72" s="49" t="b">
        <v>0</v>
      </c>
      <c r="J72" s="49" t="b">
        <v>0</v>
      </c>
      <c r="K72" s="49" t="b">
        <v>0</v>
      </c>
      <c r="L72" s="49" t="b">
        <v>0</v>
      </c>
      <c r="M72" s="49" t="b">
        <v>0</v>
      </c>
      <c r="N72" s="49" t="b">
        <v>0</v>
      </c>
      <c r="O72" s="49" t="b">
        <v>0</v>
      </c>
      <c r="P72" s="14" t="s">
        <v>87</v>
      </c>
      <c r="Q72" s="49" t="b">
        <v>0</v>
      </c>
      <c r="R72" s="49" t="b">
        <v>0</v>
      </c>
      <c r="S72" s="15" t="b">
        <v>0</v>
      </c>
      <c r="T72" s="14" t="b">
        <v>0</v>
      </c>
      <c r="X72" s="47"/>
      <c r="Y72" s="47"/>
      <c r="Z72" s="47"/>
      <c r="AA72" s="47"/>
      <c r="AB72" s="47"/>
      <c r="AC72" s="47"/>
      <c r="AD72" s="47"/>
      <c r="AE72" s="47"/>
      <c r="AF72" s="47"/>
      <c r="AG72" s="47"/>
      <c r="AH72" s="47"/>
      <c r="AI72" s="47"/>
      <c r="AJ72" s="47"/>
      <c r="AK72" s="47"/>
    </row>
    <row r="73" ht="17.25" customHeight="1">
      <c r="A73" s="58" t="s">
        <v>207</v>
      </c>
      <c r="B73" s="48" t="s">
        <v>80</v>
      </c>
      <c r="C73" s="47" t="s">
        <v>95</v>
      </c>
      <c r="D73" s="47" t="s">
        <v>74</v>
      </c>
      <c r="E73" s="47" t="s">
        <v>82</v>
      </c>
      <c r="F73" s="47" t="s">
        <v>76</v>
      </c>
      <c r="G73" s="47" t="s">
        <v>11</v>
      </c>
      <c r="H73" s="49" t="b">
        <v>0</v>
      </c>
      <c r="I73" s="49" t="b">
        <v>0</v>
      </c>
      <c r="J73" s="49"/>
      <c r="K73" s="49" t="b">
        <v>0</v>
      </c>
      <c r="L73" s="49" t="b">
        <v>0</v>
      </c>
      <c r="M73" s="49" t="b">
        <v>1</v>
      </c>
      <c r="N73" s="49" t="b">
        <v>0</v>
      </c>
      <c r="O73" s="49" t="b">
        <v>1</v>
      </c>
      <c r="P73" s="14" t="s">
        <v>23</v>
      </c>
      <c r="Q73" s="49" t="b">
        <v>1</v>
      </c>
      <c r="R73" s="49" t="b">
        <v>1</v>
      </c>
      <c r="S73" s="15" t="b">
        <v>0</v>
      </c>
      <c r="T73" s="15" t="b">
        <v>0</v>
      </c>
      <c r="V73" s="14" t="s">
        <v>106</v>
      </c>
      <c r="W73" s="14" t="s">
        <v>208</v>
      </c>
    </row>
    <row r="74" ht="17.25" customHeight="1">
      <c r="A74" s="47" t="s">
        <v>209</v>
      </c>
      <c r="B74" s="48" t="s">
        <v>80</v>
      </c>
      <c r="C74" s="47" t="s">
        <v>84</v>
      </c>
      <c r="D74" s="47" t="s">
        <v>122</v>
      </c>
      <c r="E74" s="47" t="s">
        <v>75</v>
      </c>
      <c r="F74" s="47" t="s">
        <v>86</v>
      </c>
      <c r="G74" s="47" t="s">
        <v>16</v>
      </c>
      <c r="H74" s="49" t="b">
        <v>0</v>
      </c>
      <c r="I74" s="49" t="b">
        <v>1</v>
      </c>
      <c r="J74" s="49"/>
      <c r="K74" s="49" t="b">
        <v>0</v>
      </c>
      <c r="L74" s="49" t="b">
        <v>0</v>
      </c>
      <c r="M74" s="49" t="b">
        <v>0</v>
      </c>
      <c r="N74" s="49" t="b">
        <v>0</v>
      </c>
      <c r="O74" s="49" t="b">
        <v>0</v>
      </c>
      <c r="P74" s="14" t="s">
        <v>23</v>
      </c>
      <c r="Q74" s="49" t="b">
        <v>0</v>
      </c>
      <c r="R74" s="49" t="b">
        <v>0</v>
      </c>
      <c r="S74" s="15" t="b">
        <v>0</v>
      </c>
      <c r="T74" s="15" t="b">
        <v>0</v>
      </c>
      <c r="U74" s="47"/>
      <c r="V74" s="47"/>
      <c r="W74" s="47" t="s">
        <v>210</v>
      </c>
      <c r="X74" s="47"/>
      <c r="Y74" s="47"/>
      <c r="Z74" s="47"/>
      <c r="AA74" s="47"/>
      <c r="AB74" s="47"/>
      <c r="AC74" s="47"/>
      <c r="AD74" s="47"/>
      <c r="AE74" s="47"/>
      <c r="AF74" s="47"/>
      <c r="AG74" s="47"/>
      <c r="AH74" s="47"/>
      <c r="AI74" s="47"/>
      <c r="AJ74" s="47"/>
      <c r="AK74" s="47"/>
    </row>
    <row r="75" ht="17.25" customHeight="1">
      <c r="A75" s="47" t="s">
        <v>211</v>
      </c>
      <c r="B75" s="48" t="s">
        <v>103</v>
      </c>
      <c r="C75" s="48" t="s">
        <v>103</v>
      </c>
      <c r="D75" s="47" t="s">
        <v>74</v>
      </c>
      <c r="E75" s="47" t="s">
        <v>82</v>
      </c>
      <c r="F75" s="47" t="s">
        <v>76</v>
      </c>
      <c r="G75" s="47" t="s">
        <v>10</v>
      </c>
      <c r="H75" s="49" t="b">
        <v>0</v>
      </c>
      <c r="I75" s="49" t="b">
        <v>0</v>
      </c>
      <c r="J75" s="49"/>
      <c r="K75" s="49" t="b">
        <v>0</v>
      </c>
      <c r="L75" s="49" t="b">
        <v>0</v>
      </c>
      <c r="M75" s="49" t="b">
        <v>1</v>
      </c>
      <c r="N75" s="49" t="b">
        <v>0</v>
      </c>
      <c r="O75" s="49" t="b">
        <v>1</v>
      </c>
      <c r="P75" s="14" t="s">
        <v>23</v>
      </c>
      <c r="Q75" s="49" t="b">
        <v>1</v>
      </c>
      <c r="R75" s="49" t="b">
        <v>1</v>
      </c>
      <c r="S75" s="15" t="b">
        <v>0</v>
      </c>
      <c r="T75" s="15" t="b">
        <v>0</v>
      </c>
    </row>
    <row r="76" ht="17.25" customHeight="1">
      <c r="A76" s="47" t="s">
        <v>212</v>
      </c>
      <c r="B76" s="48" t="s">
        <v>72</v>
      </c>
      <c r="C76" s="48" t="s">
        <v>72</v>
      </c>
      <c r="D76" s="47" t="s">
        <v>74</v>
      </c>
      <c r="E76" s="47" t="s">
        <v>82</v>
      </c>
      <c r="F76" s="47" t="s">
        <v>76</v>
      </c>
      <c r="G76" s="47" t="s">
        <v>16</v>
      </c>
      <c r="H76" s="49" t="b">
        <v>1</v>
      </c>
      <c r="I76" s="49" t="b">
        <v>0</v>
      </c>
      <c r="J76" s="49" t="b">
        <v>0</v>
      </c>
      <c r="K76" s="49" t="b">
        <v>0</v>
      </c>
      <c r="L76" s="49" t="b">
        <v>0</v>
      </c>
      <c r="M76" s="49" t="b">
        <v>0</v>
      </c>
      <c r="N76" s="49"/>
      <c r="O76" s="49" t="b">
        <v>0</v>
      </c>
      <c r="P76" s="14" t="s">
        <v>87</v>
      </c>
      <c r="Q76" s="49" t="b">
        <v>0</v>
      </c>
      <c r="R76" s="49" t="b">
        <v>0</v>
      </c>
      <c r="S76" s="15" t="b">
        <v>0</v>
      </c>
      <c r="T76" s="15" t="b">
        <v>0</v>
      </c>
      <c r="U76" s="47"/>
      <c r="V76" s="47"/>
      <c r="W76" s="47"/>
    </row>
    <row r="77" ht="17.25" customHeight="1">
      <c r="A77" s="50" t="s">
        <v>213</v>
      </c>
      <c r="B77" s="48" t="s">
        <v>72</v>
      </c>
      <c r="C77" s="48" t="s">
        <v>72</v>
      </c>
      <c r="D77" s="47" t="s">
        <v>142</v>
      </c>
      <c r="E77" s="47" t="s">
        <v>96</v>
      </c>
      <c r="F77" s="47" t="s">
        <v>86</v>
      </c>
      <c r="G77" s="47" t="s">
        <v>15</v>
      </c>
      <c r="H77" s="49" t="b">
        <v>0</v>
      </c>
      <c r="I77" s="49" t="b">
        <v>0</v>
      </c>
      <c r="J77" s="49" t="s">
        <v>214</v>
      </c>
      <c r="K77" s="49" t="b">
        <v>0</v>
      </c>
      <c r="L77" s="49" t="b">
        <v>0</v>
      </c>
      <c r="M77" s="49" t="b">
        <v>0</v>
      </c>
      <c r="N77" s="49" t="b">
        <v>0</v>
      </c>
      <c r="O77" s="49" t="b">
        <v>0</v>
      </c>
      <c r="P77" s="14" t="s">
        <v>23</v>
      </c>
      <c r="Q77" s="49" t="b">
        <v>0</v>
      </c>
      <c r="R77" s="49" t="b">
        <v>0</v>
      </c>
      <c r="S77" s="15" t="b">
        <v>0</v>
      </c>
      <c r="T77" s="15" t="b">
        <v>0</v>
      </c>
      <c r="U77" s="47" t="s">
        <v>215</v>
      </c>
      <c r="V77" s="47"/>
      <c r="W77" s="47"/>
      <c r="X77" s="47"/>
      <c r="Y77" s="47"/>
      <c r="Z77" s="47"/>
      <c r="AA77" s="47"/>
      <c r="AB77" s="47"/>
      <c r="AC77" s="47"/>
      <c r="AD77" s="47"/>
      <c r="AE77" s="47"/>
      <c r="AF77" s="47"/>
      <c r="AG77" s="47"/>
      <c r="AH77" s="47"/>
      <c r="AI77" s="47"/>
      <c r="AJ77" s="47"/>
      <c r="AK77" s="47"/>
    </row>
    <row r="78" ht="17.25" customHeight="1">
      <c r="A78" s="47" t="s">
        <v>216</v>
      </c>
      <c r="B78" s="48" t="s">
        <v>103</v>
      </c>
      <c r="C78" s="48" t="s">
        <v>103</v>
      </c>
      <c r="D78" s="47" t="s">
        <v>205</v>
      </c>
      <c r="E78" s="47" t="s">
        <v>96</v>
      </c>
      <c r="F78" s="47" t="s">
        <v>86</v>
      </c>
      <c r="G78" s="47" t="s">
        <v>11</v>
      </c>
      <c r="H78" s="49" t="b">
        <v>0</v>
      </c>
      <c r="I78" s="49" t="b">
        <v>0</v>
      </c>
      <c r="J78" s="49" t="b">
        <v>0</v>
      </c>
      <c r="K78" s="49" t="b">
        <v>0</v>
      </c>
      <c r="L78" s="49" t="b">
        <v>0</v>
      </c>
      <c r="M78" s="49" t="b">
        <v>0</v>
      </c>
      <c r="N78" s="49" t="b">
        <v>0</v>
      </c>
      <c r="O78" s="49" t="b">
        <v>0</v>
      </c>
      <c r="P78" s="14" t="s">
        <v>138</v>
      </c>
      <c r="Q78" s="49" t="b">
        <v>0</v>
      </c>
      <c r="R78" s="49" t="b">
        <v>0</v>
      </c>
      <c r="S78" s="15" t="b">
        <v>0</v>
      </c>
      <c r="T78" s="15" t="b">
        <v>0</v>
      </c>
      <c r="V78" s="14"/>
      <c r="W78" s="14" t="s">
        <v>217</v>
      </c>
    </row>
    <row r="79" ht="17.25" customHeight="1">
      <c r="A79" s="47" t="s">
        <v>218</v>
      </c>
      <c r="B79" s="48" t="s">
        <v>80</v>
      </c>
      <c r="C79" s="47" t="s">
        <v>81</v>
      </c>
      <c r="D79" s="47" t="s">
        <v>74</v>
      </c>
      <c r="E79" s="47" t="s">
        <v>75</v>
      </c>
      <c r="F79" s="47" t="s">
        <v>76</v>
      </c>
      <c r="G79" s="47" t="s">
        <v>16</v>
      </c>
      <c r="H79" s="49" t="b">
        <v>0</v>
      </c>
      <c r="I79" s="49" t="b">
        <v>1</v>
      </c>
      <c r="J79" s="49" t="b">
        <v>0</v>
      </c>
      <c r="K79" s="49" t="b">
        <v>0</v>
      </c>
      <c r="L79" s="49" t="b">
        <v>0</v>
      </c>
      <c r="M79" s="49" t="b">
        <v>1</v>
      </c>
      <c r="N79" s="49" t="b">
        <v>0</v>
      </c>
      <c r="O79" s="49" t="b">
        <v>0</v>
      </c>
      <c r="P79" s="14" t="s">
        <v>87</v>
      </c>
      <c r="Q79" s="49" t="b">
        <v>0</v>
      </c>
      <c r="R79" s="49" t="b">
        <v>0</v>
      </c>
      <c r="S79" s="15" t="b">
        <v>0</v>
      </c>
      <c r="T79" s="15" t="b">
        <v>0</v>
      </c>
      <c r="U79" s="47"/>
      <c r="V79" s="47"/>
      <c r="W79" s="47"/>
    </row>
    <row r="80" ht="17.25" customHeight="1">
      <c r="A80" s="47" t="s">
        <v>219</v>
      </c>
      <c r="B80" s="48" t="s">
        <v>220</v>
      </c>
      <c r="C80" s="47" t="s">
        <v>73</v>
      </c>
      <c r="D80" s="47" t="s">
        <v>122</v>
      </c>
      <c r="E80" s="47" t="s">
        <v>82</v>
      </c>
      <c r="F80" s="47" t="s">
        <v>86</v>
      </c>
      <c r="G80" s="47" t="s">
        <v>191</v>
      </c>
      <c r="H80" s="49" t="b">
        <v>0</v>
      </c>
      <c r="I80" s="49" t="b">
        <v>0</v>
      </c>
      <c r="J80" s="49"/>
      <c r="K80" s="49" t="b">
        <v>0</v>
      </c>
      <c r="L80" s="49" t="b">
        <v>0</v>
      </c>
      <c r="M80" s="49" t="b">
        <v>0</v>
      </c>
      <c r="N80" s="49" t="b">
        <v>0</v>
      </c>
      <c r="O80" s="49" t="b">
        <v>0</v>
      </c>
      <c r="P80" s="14" t="s">
        <v>87</v>
      </c>
      <c r="Q80" s="49" t="b">
        <v>0</v>
      </c>
      <c r="R80" s="49" t="b">
        <v>1</v>
      </c>
      <c r="S80" s="15" t="b">
        <v>0</v>
      </c>
      <c r="T80" s="15" t="b">
        <v>0</v>
      </c>
      <c r="W80" s="14" t="s">
        <v>221</v>
      </c>
    </row>
    <row r="81" ht="17.25" customHeight="1">
      <c r="A81" s="47" t="s">
        <v>222</v>
      </c>
      <c r="B81" s="48" t="s">
        <v>103</v>
      </c>
      <c r="C81" s="48" t="s">
        <v>103</v>
      </c>
      <c r="D81" s="47" t="s">
        <v>90</v>
      </c>
      <c r="E81" s="47" t="s">
        <v>82</v>
      </c>
      <c r="F81" s="47" t="s">
        <v>86</v>
      </c>
      <c r="G81" s="47" t="s">
        <v>10</v>
      </c>
      <c r="H81" s="49" t="b">
        <v>0</v>
      </c>
      <c r="I81" s="49" t="b">
        <v>0</v>
      </c>
      <c r="J81" s="49"/>
      <c r="K81" s="49" t="b">
        <v>0</v>
      </c>
      <c r="L81" s="49" t="b">
        <v>0</v>
      </c>
      <c r="M81" s="49" t="b">
        <v>0</v>
      </c>
      <c r="N81" s="49" t="b">
        <v>0</v>
      </c>
      <c r="O81" s="49" t="b">
        <v>0</v>
      </c>
      <c r="P81" s="14" t="s">
        <v>23</v>
      </c>
      <c r="Q81" s="49" t="b">
        <v>1</v>
      </c>
      <c r="R81" s="49" t="b">
        <v>0</v>
      </c>
      <c r="S81" s="15" t="b">
        <v>0</v>
      </c>
      <c r="T81" s="15" t="b">
        <v>0</v>
      </c>
    </row>
    <row r="82" ht="17.25" customHeight="1">
      <c r="A82" s="50" t="s">
        <v>223</v>
      </c>
      <c r="B82" s="48" t="s">
        <v>72</v>
      </c>
      <c r="C82" s="48" t="s">
        <v>72</v>
      </c>
      <c r="D82" s="47" t="s">
        <v>142</v>
      </c>
      <c r="E82" s="47" t="s">
        <v>75</v>
      </c>
      <c r="F82" s="47" t="s">
        <v>86</v>
      </c>
      <c r="G82" s="47" t="s">
        <v>21</v>
      </c>
      <c r="H82" s="49" t="b">
        <v>0</v>
      </c>
      <c r="I82" s="49" t="b">
        <v>0</v>
      </c>
      <c r="J82" s="49"/>
      <c r="K82" s="49" t="b">
        <v>0</v>
      </c>
      <c r="L82" s="49" t="b">
        <v>0</v>
      </c>
      <c r="M82" s="49" t="b">
        <v>0</v>
      </c>
      <c r="N82" s="49" t="b">
        <v>0</v>
      </c>
      <c r="O82" s="49" t="b">
        <v>0</v>
      </c>
      <c r="P82" s="57"/>
      <c r="Q82" s="49" t="b">
        <v>1</v>
      </c>
      <c r="R82" s="49" t="b">
        <v>1</v>
      </c>
      <c r="S82" s="15" t="b">
        <v>0</v>
      </c>
      <c r="T82" s="15" t="b">
        <v>0</v>
      </c>
    </row>
    <row r="83" ht="17.25" customHeight="1">
      <c r="A83" s="50" t="s">
        <v>224</v>
      </c>
      <c r="B83" s="48" t="s">
        <v>72</v>
      </c>
      <c r="C83" s="48" t="s">
        <v>72</v>
      </c>
      <c r="D83" s="48" t="s">
        <v>142</v>
      </c>
      <c r="E83" s="47" t="s">
        <v>75</v>
      </c>
      <c r="F83" s="51" t="s">
        <v>86</v>
      </c>
      <c r="G83" s="48" t="s">
        <v>21</v>
      </c>
      <c r="H83" s="49" t="b">
        <v>0</v>
      </c>
      <c r="I83" s="49" t="b">
        <v>1</v>
      </c>
      <c r="J83" s="52"/>
      <c r="K83" s="52" t="b">
        <v>0</v>
      </c>
      <c r="L83" s="52" t="b">
        <v>0</v>
      </c>
      <c r="M83" s="52" t="b">
        <v>0</v>
      </c>
      <c r="N83" s="52" t="b">
        <v>0</v>
      </c>
      <c r="O83" s="52" t="b">
        <v>0</v>
      </c>
      <c r="P83" s="51"/>
      <c r="Q83" s="52" t="b">
        <v>0</v>
      </c>
      <c r="R83" s="52" t="b">
        <v>0</v>
      </c>
      <c r="S83" s="52" t="b">
        <v>0</v>
      </c>
      <c r="T83" s="52" t="b">
        <v>0</v>
      </c>
      <c r="V83" s="47"/>
      <c r="W83" s="47"/>
    </row>
    <row r="84" ht="17.25" customHeight="1">
      <c r="A84" s="47" t="s">
        <v>225</v>
      </c>
      <c r="B84" s="48" t="s">
        <v>72</v>
      </c>
      <c r="C84" s="47" t="s">
        <v>72</v>
      </c>
      <c r="D84" s="47" t="s">
        <v>100</v>
      </c>
      <c r="E84" s="47" t="s">
        <v>75</v>
      </c>
      <c r="F84" s="47" t="s">
        <v>76</v>
      </c>
      <c r="G84" s="47" t="s">
        <v>8</v>
      </c>
      <c r="H84" s="49" t="b">
        <v>1</v>
      </c>
      <c r="I84" s="49" t="b">
        <v>0</v>
      </c>
      <c r="J84" s="49"/>
      <c r="K84" s="49" t="b">
        <v>1</v>
      </c>
      <c r="L84" s="49" t="b">
        <v>1</v>
      </c>
      <c r="M84" s="49" t="b">
        <v>1</v>
      </c>
      <c r="N84" s="49" t="b">
        <v>1</v>
      </c>
      <c r="O84" s="49" t="b">
        <v>0</v>
      </c>
      <c r="P84" s="14" t="s">
        <v>78</v>
      </c>
      <c r="Q84" s="49" t="b">
        <v>1</v>
      </c>
      <c r="R84" s="49" t="b">
        <v>1</v>
      </c>
      <c r="S84" s="15" t="b">
        <v>0</v>
      </c>
      <c r="T84" s="15" t="b">
        <v>0</v>
      </c>
      <c r="V84" s="14" t="s">
        <v>106</v>
      </c>
    </row>
    <row r="85" ht="17.25" customHeight="1">
      <c r="A85" s="47" t="s">
        <v>226</v>
      </c>
      <c r="B85" s="48" t="s">
        <v>80</v>
      </c>
      <c r="C85" s="47" t="s">
        <v>84</v>
      </c>
      <c r="D85" s="47" t="s">
        <v>100</v>
      </c>
      <c r="E85" s="47" t="s">
        <v>75</v>
      </c>
      <c r="F85" s="47" t="s">
        <v>76</v>
      </c>
      <c r="G85" s="47" t="s">
        <v>15</v>
      </c>
      <c r="H85" s="49" t="b">
        <v>1</v>
      </c>
      <c r="I85" s="49" t="b">
        <v>0</v>
      </c>
      <c r="J85" s="49" t="s">
        <v>214</v>
      </c>
      <c r="K85" s="49" t="b">
        <v>1</v>
      </c>
      <c r="L85" s="49" t="b">
        <v>1</v>
      </c>
      <c r="M85" s="49" t="b">
        <v>1</v>
      </c>
      <c r="N85" s="49" t="b">
        <v>1</v>
      </c>
      <c r="O85" s="49" t="b">
        <v>0</v>
      </c>
      <c r="P85" s="14" t="s">
        <v>78</v>
      </c>
      <c r="Q85" s="49" t="b">
        <v>1</v>
      </c>
      <c r="R85" s="49" t="b">
        <v>1</v>
      </c>
      <c r="S85" s="15" t="b">
        <v>0</v>
      </c>
      <c r="T85" s="15" t="b">
        <v>0</v>
      </c>
      <c r="U85" s="14" t="s">
        <v>215</v>
      </c>
      <c r="W85" s="14" t="s">
        <v>227</v>
      </c>
      <c r="X85" s="47"/>
      <c r="Y85" s="47"/>
      <c r="Z85" s="47"/>
      <c r="AA85" s="47"/>
      <c r="AB85" s="47"/>
      <c r="AC85" s="47"/>
      <c r="AD85" s="47"/>
      <c r="AE85" s="47"/>
      <c r="AF85" s="47"/>
      <c r="AG85" s="47"/>
      <c r="AH85" s="47"/>
      <c r="AI85" s="47"/>
      <c r="AJ85" s="47"/>
      <c r="AK85" s="47"/>
    </row>
    <row r="86" ht="17.25" customHeight="1">
      <c r="A86" s="58" t="s">
        <v>228</v>
      </c>
      <c r="B86" s="48" t="s">
        <v>229</v>
      </c>
      <c r="C86" s="47" t="s">
        <v>110</v>
      </c>
      <c r="D86" s="47" t="s">
        <v>85</v>
      </c>
      <c r="E86" s="47" t="s">
        <v>75</v>
      </c>
      <c r="F86" s="47" t="s">
        <v>86</v>
      </c>
      <c r="G86" s="47" t="s">
        <v>8</v>
      </c>
      <c r="H86" s="49" t="b">
        <v>0</v>
      </c>
      <c r="I86" s="49" t="b">
        <v>0</v>
      </c>
      <c r="J86" s="49"/>
      <c r="K86" s="49" t="b">
        <v>1</v>
      </c>
      <c r="L86" s="49" t="b">
        <v>1</v>
      </c>
      <c r="M86" s="49" t="b">
        <v>0</v>
      </c>
      <c r="N86" s="49" t="b">
        <v>0</v>
      </c>
      <c r="O86" s="49" t="b">
        <v>0</v>
      </c>
      <c r="P86" s="14" t="s">
        <v>23</v>
      </c>
      <c r="Q86" s="49" t="b">
        <v>1</v>
      </c>
      <c r="R86" s="49" t="b">
        <v>1</v>
      </c>
      <c r="S86" s="15" t="b">
        <v>0</v>
      </c>
      <c r="T86" s="15" t="b">
        <v>0</v>
      </c>
    </row>
    <row r="87" ht="17.25" customHeight="1">
      <c r="A87" s="47" t="s">
        <v>230</v>
      </c>
      <c r="B87" s="48" t="s">
        <v>103</v>
      </c>
      <c r="C87" s="48" t="s">
        <v>103</v>
      </c>
      <c r="D87" s="47" t="s">
        <v>100</v>
      </c>
      <c r="E87" s="47" t="s">
        <v>75</v>
      </c>
      <c r="F87" s="47" t="s">
        <v>76</v>
      </c>
      <c r="G87" s="47" t="s">
        <v>11</v>
      </c>
      <c r="H87" s="49" t="b">
        <v>1</v>
      </c>
      <c r="I87" s="49" t="b">
        <v>0</v>
      </c>
      <c r="J87" s="49" t="b">
        <v>0</v>
      </c>
      <c r="K87" s="49" t="b">
        <v>1</v>
      </c>
      <c r="L87" s="49" t="b">
        <v>1</v>
      </c>
      <c r="M87" s="49" t="b">
        <v>1</v>
      </c>
      <c r="N87" s="49" t="b">
        <v>1</v>
      </c>
      <c r="O87" s="49" t="b">
        <v>0</v>
      </c>
      <c r="P87" s="14" t="s">
        <v>78</v>
      </c>
      <c r="Q87" s="49" t="b">
        <v>1</v>
      </c>
      <c r="R87" s="49" t="b">
        <v>1</v>
      </c>
      <c r="S87" s="14" t="b">
        <v>1</v>
      </c>
      <c r="T87" s="14" t="b">
        <v>1</v>
      </c>
      <c r="W87" s="14" t="s">
        <v>106</v>
      </c>
    </row>
    <row r="88" ht="17.25" customHeight="1">
      <c r="A88" s="58" t="s">
        <v>231</v>
      </c>
      <c r="B88" s="48" t="s">
        <v>232</v>
      </c>
      <c r="C88" s="48" t="s">
        <v>72</v>
      </c>
      <c r="D88" s="47" t="s">
        <v>74</v>
      </c>
      <c r="E88" s="47" t="s">
        <v>75</v>
      </c>
      <c r="F88" s="47" t="s">
        <v>76</v>
      </c>
      <c r="G88" s="47" t="s">
        <v>8</v>
      </c>
      <c r="H88" s="49" t="b">
        <v>0</v>
      </c>
      <c r="I88" s="49" t="b">
        <v>1</v>
      </c>
      <c r="J88" s="49"/>
      <c r="K88" s="49" t="b">
        <v>0</v>
      </c>
      <c r="L88" s="49" t="b">
        <v>1</v>
      </c>
      <c r="M88" s="49" t="b">
        <v>1</v>
      </c>
      <c r="N88" s="49" t="b">
        <v>0</v>
      </c>
      <c r="O88" s="49" t="b">
        <v>0</v>
      </c>
      <c r="P88" s="14" t="s">
        <v>23</v>
      </c>
      <c r="Q88" s="49" t="b">
        <v>0</v>
      </c>
      <c r="R88" s="49" t="b">
        <v>1</v>
      </c>
      <c r="S88" s="15" t="b">
        <v>0</v>
      </c>
      <c r="T88" s="15" t="b">
        <v>0</v>
      </c>
      <c r="V88" s="14" t="s">
        <v>106</v>
      </c>
      <c r="W88" s="14" t="s">
        <v>233</v>
      </c>
    </row>
    <row r="89" ht="17.25" customHeight="1">
      <c r="A89" s="47" t="s">
        <v>234</v>
      </c>
      <c r="B89" s="48" t="s">
        <v>80</v>
      </c>
      <c r="C89" s="47" t="s">
        <v>84</v>
      </c>
      <c r="D89" s="47" t="s">
        <v>90</v>
      </c>
      <c r="E89" s="47" t="s">
        <v>137</v>
      </c>
      <c r="F89" s="47" t="s">
        <v>86</v>
      </c>
      <c r="G89" s="47" t="s">
        <v>16</v>
      </c>
      <c r="H89" s="49" t="b">
        <v>0</v>
      </c>
      <c r="I89" s="49" t="b">
        <v>1</v>
      </c>
      <c r="J89" s="47"/>
      <c r="K89" s="49" t="b">
        <v>0</v>
      </c>
      <c r="L89" s="49" t="b">
        <v>0</v>
      </c>
      <c r="M89" s="49" t="b">
        <v>0</v>
      </c>
      <c r="N89" s="49" t="b">
        <v>0</v>
      </c>
      <c r="O89" s="49" t="b">
        <v>0</v>
      </c>
      <c r="P89" s="14" t="s">
        <v>138</v>
      </c>
      <c r="Q89" s="49" t="b">
        <v>0</v>
      </c>
      <c r="R89" s="49" t="b">
        <v>0</v>
      </c>
      <c r="S89" s="15" t="b">
        <v>0</v>
      </c>
      <c r="T89" s="15" t="b">
        <v>0</v>
      </c>
      <c r="U89" s="47"/>
      <c r="V89" s="47"/>
      <c r="W89" s="47"/>
    </row>
    <row r="90" ht="17.25" customHeight="1">
      <c r="A90" s="47" t="s">
        <v>235</v>
      </c>
      <c r="B90" s="48" t="s">
        <v>80</v>
      </c>
      <c r="C90" s="47" t="s">
        <v>84</v>
      </c>
      <c r="D90" s="47" t="s">
        <v>85</v>
      </c>
      <c r="E90" s="47" t="s">
        <v>101</v>
      </c>
      <c r="F90" s="47" t="s">
        <v>86</v>
      </c>
      <c r="G90" s="47" t="s">
        <v>16</v>
      </c>
      <c r="H90" s="49" t="b">
        <v>0</v>
      </c>
      <c r="I90" s="49" t="b">
        <v>0</v>
      </c>
      <c r="J90" s="49" t="b">
        <v>0</v>
      </c>
      <c r="K90" s="49" t="b">
        <v>0</v>
      </c>
      <c r="L90" s="49" t="b">
        <v>0</v>
      </c>
      <c r="M90" s="49" t="b">
        <v>0</v>
      </c>
      <c r="N90" s="49" t="b">
        <v>0</v>
      </c>
      <c r="O90" s="49" t="b">
        <v>0</v>
      </c>
      <c r="P90" s="14" t="s">
        <v>87</v>
      </c>
      <c r="Q90" s="49" t="b">
        <v>0</v>
      </c>
      <c r="R90" s="49" t="b">
        <v>0</v>
      </c>
      <c r="S90" s="15" t="b">
        <v>0</v>
      </c>
      <c r="T90" s="14" t="b">
        <v>0</v>
      </c>
      <c r="U90" s="47"/>
      <c r="V90" s="47"/>
      <c r="W90" s="47"/>
    </row>
    <row r="91" ht="17.25" customHeight="1">
      <c r="A91" s="47" t="s">
        <v>236</v>
      </c>
      <c r="B91" s="48" t="s">
        <v>103</v>
      </c>
      <c r="C91" s="48" t="s">
        <v>103</v>
      </c>
      <c r="D91" s="47" t="s">
        <v>100</v>
      </c>
      <c r="E91" s="47" t="s">
        <v>91</v>
      </c>
      <c r="F91" s="47" t="s">
        <v>76</v>
      </c>
      <c r="G91" s="47" t="s">
        <v>10</v>
      </c>
      <c r="H91" s="49" t="b">
        <v>1</v>
      </c>
      <c r="I91" s="49" t="b">
        <v>0</v>
      </c>
      <c r="J91" s="49" t="b">
        <v>0</v>
      </c>
      <c r="K91" s="49" t="b">
        <v>1</v>
      </c>
      <c r="L91" s="49" t="b">
        <v>1</v>
      </c>
      <c r="M91" s="49" t="b">
        <v>1</v>
      </c>
      <c r="N91" s="49" t="b">
        <v>0</v>
      </c>
      <c r="O91" s="49" t="b">
        <v>0</v>
      </c>
      <c r="P91" s="14" t="s">
        <v>134</v>
      </c>
      <c r="Q91" s="49" t="b">
        <v>1</v>
      </c>
      <c r="R91" s="49" t="b">
        <v>0</v>
      </c>
      <c r="S91" s="15" t="b">
        <v>0</v>
      </c>
      <c r="T91" s="15" t="b">
        <v>0</v>
      </c>
      <c r="V91" s="14"/>
    </row>
    <row r="92" ht="17.25" customHeight="1">
      <c r="A92" s="47" t="s">
        <v>237</v>
      </c>
      <c r="B92" s="48" t="s">
        <v>238</v>
      </c>
      <c r="C92" s="47" t="s">
        <v>95</v>
      </c>
      <c r="D92" s="47" t="s">
        <v>100</v>
      </c>
      <c r="E92" s="47" t="s">
        <v>91</v>
      </c>
      <c r="F92" s="47" t="s">
        <v>76</v>
      </c>
      <c r="G92" s="47" t="s">
        <v>11</v>
      </c>
      <c r="H92" s="49" t="b">
        <v>1</v>
      </c>
      <c r="I92" s="49" t="b">
        <v>1</v>
      </c>
      <c r="J92" s="49" t="b">
        <v>0</v>
      </c>
      <c r="K92" s="49" t="b">
        <v>1</v>
      </c>
      <c r="L92" s="49" t="b">
        <v>1</v>
      </c>
      <c r="M92" s="49" t="b">
        <v>1</v>
      </c>
      <c r="N92" s="49" t="b">
        <v>0</v>
      </c>
      <c r="O92" s="49" t="b">
        <v>0</v>
      </c>
      <c r="P92" s="14" t="s">
        <v>134</v>
      </c>
      <c r="Q92" s="49" t="b">
        <v>1</v>
      </c>
      <c r="R92" s="49" t="b">
        <v>1</v>
      </c>
      <c r="S92" s="15" t="b">
        <v>0</v>
      </c>
      <c r="T92" s="15" t="b">
        <v>0</v>
      </c>
      <c r="X92" s="47"/>
      <c r="Y92" s="47"/>
      <c r="Z92" s="47"/>
      <c r="AA92" s="47"/>
      <c r="AB92" s="47"/>
      <c r="AC92" s="47"/>
      <c r="AD92" s="47"/>
      <c r="AE92" s="47"/>
      <c r="AF92" s="47"/>
      <c r="AG92" s="47"/>
      <c r="AH92" s="47"/>
      <c r="AI92" s="47"/>
      <c r="AJ92" s="47"/>
      <c r="AK92" s="47"/>
    </row>
    <row r="93" ht="17.25" customHeight="1">
      <c r="A93" s="47" t="s">
        <v>239</v>
      </c>
      <c r="B93" s="48" t="s">
        <v>145</v>
      </c>
      <c r="C93" s="47" t="s">
        <v>95</v>
      </c>
      <c r="D93" s="47" t="s">
        <v>74</v>
      </c>
      <c r="E93" s="47" t="s">
        <v>96</v>
      </c>
      <c r="F93" s="47" t="s">
        <v>76</v>
      </c>
      <c r="G93" s="47" t="s">
        <v>11</v>
      </c>
      <c r="H93" s="49" t="b">
        <v>0</v>
      </c>
      <c r="I93" s="49" t="b">
        <v>1</v>
      </c>
      <c r="J93" s="49"/>
      <c r="K93" s="49" t="b">
        <v>0</v>
      </c>
      <c r="L93" s="49" t="b">
        <v>0</v>
      </c>
      <c r="M93" s="49" t="b">
        <v>1</v>
      </c>
      <c r="N93" s="49"/>
      <c r="O93" s="49" t="b">
        <v>0</v>
      </c>
      <c r="P93" s="14" t="s">
        <v>23</v>
      </c>
      <c r="Q93" s="49" t="b">
        <v>0</v>
      </c>
      <c r="R93" s="49" t="b">
        <v>1</v>
      </c>
      <c r="S93" s="15" t="b">
        <v>0</v>
      </c>
      <c r="T93" s="15" t="b">
        <v>0</v>
      </c>
      <c r="U93" s="47"/>
      <c r="V93" s="47"/>
      <c r="W93" s="47"/>
      <c r="X93" s="47"/>
      <c r="Y93" s="47"/>
      <c r="Z93" s="47"/>
      <c r="AA93" s="47"/>
      <c r="AB93" s="47"/>
      <c r="AC93" s="47"/>
      <c r="AD93" s="47"/>
      <c r="AE93" s="47"/>
      <c r="AF93" s="47"/>
      <c r="AG93" s="47"/>
      <c r="AH93" s="47"/>
      <c r="AI93" s="47"/>
      <c r="AJ93" s="47"/>
      <c r="AK93" s="47"/>
    </row>
    <row r="94" ht="17.25" customHeight="1">
      <c r="A94" s="47" t="s">
        <v>240</v>
      </c>
      <c r="B94" s="48" t="s">
        <v>241</v>
      </c>
      <c r="C94" s="47" t="s">
        <v>84</v>
      </c>
      <c r="D94" s="47" t="s">
        <v>85</v>
      </c>
      <c r="E94" s="47" t="s">
        <v>96</v>
      </c>
      <c r="F94" s="47" t="s">
        <v>86</v>
      </c>
      <c r="G94" s="47" t="s">
        <v>15</v>
      </c>
      <c r="H94" s="49" t="b">
        <v>0</v>
      </c>
      <c r="I94" s="49" t="b">
        <v>0</v>
      </c>
      <c r="J94" s="49" t="s">
        <v>242</v>
      </c>
      <c r="K94" s="49" t="b">
        <v>1</v>
      </c>
      <c r="L94" s="49" t="b">
        <v>0</v>
      </c>
      <c r="M94" s="49" t="b">
        <v>0</v>
      </c>
      <c r="N94" s="49" t="b">
        <v>0</v>
      </c>
      <c r="O94" s="49" t="b">
        <v>0</v>
      </c>
      <c r="P94" s="14" t="s">
        <v>23</v>
      </c>
      <c r="Q94" s="49" t="b">
        <v>1</v>
      </c>
      <c r="R94" s="49" t="b">
        <v>1</v>
      </c>
      <c r="S94" s="15" t="b">
        <v>0</v>
      </c>
      <c r="T94" s="15" t="b">
        <v>0</v>
      </c>
      <c r="U94" s="14" t="s">
        <v>215</v>
      </c>
      <c r="W94" s="14" t="s">
        <v>243</v>
      </c>
    </row>
    <row r="95" ht="17.25" customHeight="1">
      <c r="A95" s="62" t="s">
        <v>244</v>
      </c>
      <c r="B95" s="14" t="s">
        <v>99</v>
      </c>
      <c r="C95" s="47" t="s">
        <v>95</v>
      </c>
      <c r="D95" s="47" t="s">
        <v>90</v>
      </c>
      <c r="E95" s="47" t="s">
        <v>82</v>
      </c>
      <c r="F95" s="47" t="s">
        <v>86</v>
      </c>
      <c r="G95" s="47" t="s">
        <v>11</v>
      </c>
      <c r="H95" s="49" t="b">
        <v>0</v>
      </c>
      <c r="I95" s="49" t="b">
        <v>0</v>
      </c>
      <c r="J95" s="49" t="b">
        <v>0</v>
      </c>
      <c r="K95" s="49" t="b">
        <v>0</v>
      </c>
      <c r="L95" s="49" t="b">
        <v>0</v>
      </c>
      <c r="M95" s="49" t="b">
        <v>0</v>
      </c>
      <c r="N95" s="49" t="b">
        <v>0</v>
      </c>
      <c r="O95" s="49" t="b">
        <v>0</v>
      </c>
      <c r="P95" s="14" t="s">
        <v>87</v>
      </c>
      <c r="Q95" s="49" t="b">
        <v>1</v>
      </c>
      <c r="R95" s="49" t="b">
        <v>1</v>
      </c>
      <c r="S95" s="15" t="b">
        <v>0</v>
      </c>
      <c r="T95" s="14" t="b">
        <v>0</v>
      </c>
    </row>
    <row r="96" ht="17.25" customHeight="1">
      <c r="A96" s="47" t="s">
        <v>245</v>
      </c>
      <c r="B96" s="48" t="s">
        <v>162</v>
      </c>
      <c r="C96" s="47" t="s">
        <v>95</v>
      </c>
      <c r="D96" s="47" t="s">
        <v>100</v>
      </c>
      <c r="E96" s="47" t="s">
        <v>82</v>
      </c>
      <c r="F96" s="47" t="s">
        <v>76</v>
      </c>
      <c r="G96" s="47" t="s">
        <v>11</v>
      </c>
      <c r="H96" s="49" t="b">
        <v>0</v>
      </c>
      <c r="I96" s="49" t="b">
        <v>0</v>
      </c>
      <c r="J96" s="49"/>
      <c r="K96" s="49" t="b">
        <v>1</v>
      </c>
      <c r="L96" s="49" t="b">
        <v>0</v>
      </c>
      <c r="M96" s="49" t="b">
        <v>1</v>
      </c>
      <c r="N96" s="49" t="b">
        <v>0</v>
      </c>
      <c r="O96" s="49" t="b">
        <v>1</v>
      </c>
      <c r="P96" s="14" t="s">
        <v>23</v>
      </c>
      <c r="Q96" s="49" t="b">
        <v>1</v>
      </c>
      <c r="R96" s="49" t="b">
        <v>1</v>
      </c>
      <c r="S96" s="15" t="b">
        <v>0</v>
      </c>
      <c r="T96" s="15" t="b">
        <v>0</v>
      </c>
      <c r="V96" s="14" t="s">
        <v>106</v>
      </c>
      <c r="X96" s="47"/>
      <c r="Y96" s="47"/>
      <c r="Z96" s="47"/>
      <c r="AA96" s="47"/>
      <c r="AB96" s="47"/>
      <c r="AC96" s="47"/>
      <c r="AD96" s="47"/>
      <c r="AE96" s="47"/>
      <c r="AF96" s="47"/>
      <c r="AG96" s="47"/>
      <c r="AH96" s="47"/>
      <c r="AI96" s="47"/>
      <c r="AJ96" s="47"/>
      <c r="AK96" s="47"/>
    </row>
    <row r="97" ht="17.25" customHeight="1">
      <c r="A97" s="47" t="s">
        <v>246</v>
      </c>
      <c r="B97" s="48" t="s">
        <v>80</v>
      </c>
      <c r="C97" s="47" t="s">
        <v>80</v>
      </c>
      <c r="D97" s="47" t="s">
        <v>122</v>
      </c>
      <c r="E97" s="47" t="s">
        <v>82</v>
      </c>
      <c r="F97" s="47" t="s">
        <v>86</v>
      </c>
      <c r="G97" s="47" t="s">
        <v>247</v>
      </c>
      <c r="H97" s="49" t="b">
        <v>0</v>
      </c>
      <c r="I97" s="49" t="b">
        <v>0</v>
      </c>
      <c r="J97" s="49" t="s">
        <v>248</v>
      </c>
      <c r="K97" s="49" t="b">
        <v>0</v>
      </c>
      <c r="L97" s="49" t="b">
        <v>0</v>
      </c>
      <c r="M97" s="49" t="b">
        <v>0</v>
      </c>
      <c r="N97" s="49" t="b">
        <v>0</v>
      </c>
      <c r="O97" s="49" t="b">
        <v>0</v>
      </c>
      <c r="P97" s="14" t="s">
        <v>87</v>
      </c>
      <c r="Q97" s="49" t="b">
        <v>0</v>
      </c>
      <c r="R97" s="49" t="b">
        <v>1</v>
      </c>
      <c r="S97" s="15" t="b">
        <v>0</v>
      </c>
      <c r="T97" s="15" t="b">
        <v>0</v>
      </c>
      <c r="U97" s="47"/>
      <c r="V97" s="47"/>
      <c r="W97" s="47" t="s">
        <v>249</v>
      </c>
      <c r="X97" s="47"/>
      <c r="Y97" s="47"/>
      <c r="Z97" s="47"/>
      <c r="AA97" s="47"/>
      <c r="AB97" s="47"/>
      <c r="AC97" s="47"/>
      <c r="AD97" s="47"/>
      <c r="AE97" s="47"/>
      <c r="AF97" s="47"/>
      <c r="AG97" s="47"/>
      <c r="AH97" s="47"/>
      <c r="AI97" s="47"/>
      <c r="AJ97" s="47"/>
      <c r="AK97" s="47"/>
    </row>
    <row r="98" ht="17.25" customHeight="1">
      <c r="A98" s="47" t="s">
        <v>250</v>
      </c>
      <c r="B98" s="48" t="s">
        <v>117</v>
      </c>
      <c r="C98" s="47" t="s">
        <v>110</v>
      </c>
      <c r="D98" s="47" t="s">
        <v>74</v>
      </c>
      <c r="E98" s="47" t="s">
        <v>75</v>
      </c>
      <c r="F98" s="47" t="s">
        <v>76</v>
      </c>
      <c r="G98" s="47" t="s">
        <v>8</v>
      </c>
      <c r="H98" s="49" t="b">
        <v>1</v>
      </c>
      <c r="I98" s="49" t="b">
        <v>0</v>
      </c>
      <c r="J98" s="49"/>
      <c r="K98" s="49" t="b">
        <v>0</v>
      </c>
      <c r="L98" s="49" t="b">
        <v>0</v>
      </c>
      <c r="M98" s="49" t="b">
        <v>0</v>
      </c>
      <c r="N98" s="49" t="b">
        <v>0</v>
      </c>
      <c r="O98" s="49" t="b">
        <v>0</v>
      </c>
      <c r="P98" s="14" t="s">
        <v>23</v>
      </c>
      <c r="Q98" s="49" t="b">
        <v>0</v>
      </c>
      <c r="R98" s="49" t="b">
        <v>0</v>
      </c>
      <c r="S98" s="15" t="b">
        <v>0</v>
      </c>
      <c r="T98" s="15" t="b">
        <v>0</v>
      </c>
      <c r="W98" s="14"/>
    </row>
    <row r="99" ht="17.25" customHeight="1">
      <c r="A99" s="63" t="s">
        <v>251</v>
      </c>
      <c r="B99" s="48" t="s">
        <v>80</v>
      </c>
      <c r="C99" s="47" t="s">
        <v>72</v>
      </c>
      <c r="D99" s="47" t="s">
        <v>90</v>
      </c>
      <c r="E99" s="47" t="s">
        <v>82</v>
      </c>
      <c r="F99" s="47" t="s">
        <v>86</v>
      </c>
      <c r="G99" s="47" t="s">
        <v>21</v>
      </c>
      <c r="H99" s="49" t="b">
        <v>0</v>
      </c>
      <c r="I99" s="49" t="b">
        <v>0</v>
      </c>
      <c r="J99" s="49"/>
      <c r="K99" s="49" t="b">
        <v>0</v>
      </c>
      <c r="L99" s="49" t="b">
        <v>0</v>
      </c>
      <c r="M99" s="49" t="b">
        <v>0</v>
      </c>
      <c r="N99" s="49" t="b">
        <v>0</v>
      </c>
      <c r="O99" s="49" t="b">
        <v>0</v>
      </c>
      <c r="P99" s="14" t="s">
        <v>23</v>
      </c>
      <c r="Q99" s="49" t="b">
        <v>0</v>
      </c>
      <c r="R99" s="49" t="b">
        <v>0</v>
      </c>
      <c r="S99" s="15" t="b">
        <v>0</v>
      </c>
      <c r="T99" s="15" t="b">
        <v>0</v>
      </c>
      <c r="U99" s="47"/>
      <c r="V99" s="47"/>
      <c r="W99" s="47"/>
    </row>
    <row r="100" ht="17.25" customHeight="1">
      <c r="A100" s="47" t="s">
        <v>252</v>
      </c>
      <c r="B100" s="48" t="s">
        <v>72</v>
      </c>
      <c r="C100" s="47" t="s">
        <v>72</v>
      </c>
      <c r="D100" s="47" t="s">
        <v>74</v>
      </c>
      <c r="E100" s="47" t="s">
        <v>82</v>
      </c>
      <c r="F100" s="47" t="s">
        <v>76</v>
      </c>
      <c r="G100" s="47" t="s">
        <v>16</v>
      </c>
      <c r="H100" s="49" t="b">
        <v>0</v>
      </c>
      <c r="I100" s="49" t="b">
        <v>0</v>
      </c>
      <c r="J100" s="49" t="b">
        <v>0</v>
      </c>
      <c r="K100" s="49" t="b">
        <v>0</v>
      </c>
      <c r="L100" s="49" t="b">
        <v>0</v>
      </c>
      <c r="M100" s="49" t="b">
        <v>1</v>
      </c>
      <c r="N100" s="49" t="b">
        <v>0</v>
      </c>
      <c r="O100" s="49" t="b">
        <v>0</v>
      </c>
      <c r="P100" s="14" t="s">
        <v>87</v>
      </c>
      <c r="Q100" s="49" t="b">
        <v>1</v>
      </c>
      <c r="R100" s="49" t="b">
        <v>1</v>
      </c>
      <c r="S100" s="15" t="b">
        <v>0</v>
      </c>
      <c r="T100" s="15" t="b">
        <v>0</v>
      </c>
      <c r="W100" s="14" t="s">
        <v>253</v>
      </c>
    </row>
    <row r="101" ht="17.25" customHeight="1">
      <c r="A101" s="51" t="s">
        <v>254</v>
      </c>
      <c r="B101" s="51" t="s">
        <v>80</v>
      </c>
      <c r="C101" s="51" t="s">
        <v>73</v>
      </c>
      <c r="D101" s="48" t="s">
        <v>205</v>
      </c>
      <c r="E101" s="47" t="s">
        <v>82</v>
      </c>
      <c r="F101" s="51" t="s">
        <v>86</v>
      </c>
      <c r="G101" s="48" t="s">
        <v>21</v>
      </c>
      <c r="H101" s="52" t="b">
        <v>0</v>
      </c>
      <c r="I101" s="52" t="b">
        <v>0</v>
      </c>
      <c r="J101" s="52"/>
      <c r="K101" s="52" t="b">
        <v>0</v>
      </c>
      <c r="L101" s="52" t="b">
        <v>0</v>
      </c>
      <c r="M101" s="52" t="b">
        <v>0</v>
      </c>
      <c r="N101" s="52" t="b">
        <v>0</v>
      </c>
      <c r="O101" s="52" t="b">
        <v>0</v>
      </c>
      <c r="P101" s="48" t="s">
        <v>23</v>
      </c>
      <c r="Q101" s="52" t="b">
        <v>0</v>
      </c>
      <c r="R101" s="52" t="b">
        <v>0</v>
      </c>
      <c r="S101" s="52" t="b">
        <v>0</v>
      </c>
      <c r="T101" s="52" t="b">
        <v>0</v>
      </c>
      <c r="U101" s="47"/>
      <c r="V101" s="47"/>
      <c r="W101" s="47"/>
    </row>
    <row r="102" ht="17.25" customHeight="1">
      <c r="A102" s="47" t="s">
        <v>255</v>
      </c>
      <c r="B102" s="48" t="s">
        <v>80</v>
      </c>
      <c r="C102" s="47" t="s">
        <v>84</v>
      </c>
      <c r="D102" s="47" t="s">
        <v>122</v>
      </c>
      <c r="E102" s="47" t="s">
        <v>75</v>
      </c>
      <c r="F102" s="47" t="s">
        <v>86</v>
      </c>
      <c r="G102" s="47" t="s">
        <v>16</v>
      </c>
      <c r="H102" s="49" t="b">
        <v>0</v>
      </c>
      <c r="I102" s="49" t="b">
        <v>1</v>
      </c>
      <c r="J102" s="47"/>
      <c r="K102" s="49" t="b">
        <v>0</v>
      </c>
      <c r="L102" s="49" t="b">
        <v>0</v>
      </c>
      <c r="M102" s="49" t="b">
        <v>0</v>
      </c>
      <c r="N102" s="49" t="b">
        <v>0</v>
      </c>
      <c r="O102" s="49" t="b">
        <v>0</v>
      </c>
      <c r="P102" s="14" t="s">
        <v>23</v>
      </c>
      <c r="Q102" s="49" t="b">
        <v>0</v>
      </c>
      <c r="R102" s="49" t="b">
        <v>0</v>
      </c>
      <c r="S102" s="15" t="b">
        <v>0</v>
      </c>
      <c r="T102" s="15" t="b">
        <v>0</v>
      </c>
      <c r="U102" s="47"/>
      <c r="V102" s="47"/>
      <c r="W102" s="47"/>
    </row>
    <row r="103" ht="17.25" customHeight="1">
      <c r="A103" s="47" t="s">
        <v>256</v>
      </c>
      <c r="B103" s="48" t="s">
        <v>257</v>
      </c>
      <c r="C103" s="47" t="s">
        <v>84</v>
      </c>
      <c r="D103" s="47" t="s">
        <v>122</v>
      </c>
      <c r="E103" s="47" t="s">
        <v>75</v>
      </c>
      <c r="F103" s="47" t="s">
        <v>86</v>
      </c>
      <c r="G103" s="47" t="s">
        <v>16</v>
      </c>
      <c r="H103" s="49" t="b">
        <v>0</v>
      </c>
      <c r="I103" s="49" t="b">
        <v>0</v>
      </c>
      <c r="J103" s="49"/>
      <c r="K103" s="49" t="b">
        <v>0</v>
      </c>
      <c r="L103" s="49" t="b">
        <v>0</v>
      </c>
      <c r="M103" s="49" t="b">
        <v>0</v>
      </c>
      <c r="N103" s="49" t="b">
        <v>0</v>
      </c>
      <c r="O103" s="49" t="b">
        <v>0</v>
      </c>
      <c r="P103" s="14" t="s">
        <v>113</v>
      </c>
      <c r="Q103" s="49" t="b">
        <v>0</v>
      </c>
      <c r="R103" s="49" t="b">
        <v>0</v>
      </c>
      <c r="S103" s="15" t="b">
        <v>0</v>
      </c>
      <c r="T103" s="15" t="b">
        <v>0</v>
      </c>
      <c r="U103" s="47"/>
      <c r="V103" s="47"/>
      <c r="W103" s="47"/>
    </row>
    <row r="104" ht="17.25" customHeight="1">
      <c r="A104" s="47" t="s">
        <v>258</v>
      </c>
      <c r="B104" s="48" t="s">
        <v>103</v>
      </c>
      <c r="C104" s="48" t="s">
        <v>103</v>
      </c>
      <c r="D104" s="47" t="s">
        <v>74</v>
      </c>
      <c r="E104" s="47" t="s">
        <v>82</v>
      </c>
      <c r="F104" s="47" t="s">
        <v>76</v>
      </c>
      <c r="G104" s="47" t="s">
        <v>10</v>
      </c>
      <c r="H104" s="49" t="b">
        <v>0</v>
      </c>
      <c r="I104" s="49" t="b">
        <v>0</v>
      </c>
      <c r="J104" s="49"/>
      <c r="K104" s="49" t="b">
        <v>0</v>
      </c>
      <c r="L104" s="49" t="b">
        <v>0</v>
      </c>
      <c r="M104" s="49" t="b">
        <v>1</v>
      </c>
      <c r="N104" s="49" t="b">
        <v>0</v>
      </c>
      <c r="O104" s="49" t="b">
        <v>1</v>
      </c>
      <c r="P104" s="14" t="s">
        <v>23</v>
      </c>
      <c r="Q104" s="49" t="b">
        <v>1</v>
      </c>
      <c r="R104" s="49" t="b">
        <v>1</v>
      </c>
      <c r="S104" s="15" t="b">
        <v>0</v>
      </c>
      <c r="T104" s="15" t="b">
        <v>0</v>
      </c>
      <c r="V104" s="14" t="s">
        <v>106</v>
      </c>
    </row>
    <row r="105" ht="17.25" customHeight="1">
      <c r="A105" s="47" t="s">
        <v>259</v>
      </c>
      <c r="B105" s="48" t="s">
        <v>232</v>
      </c>
      <c r="C105" s="47" t="s">
        <v>72</v>
      </c>
      <c r="D105" s="47" t="s">
        <v>74</v>
      </c>
      <c r="E105" s="47" t="s">
        <v>82</v>
      </c>
      <c r="F105" s="47" t="s">
        <v>76</v>
      </c>
      <c r="G105" s="47" t="s">
        <v>15</v>
      </c>
      <c r="H105" s="49" t="b">
        <v>0</v>
      </c>
      <c r="I105" s="49" t="b">
        <v>1</v>
      </c>
      <c r="J105" s="49" t="s">
        <v>214</v>
      </c>
      <c r="K105" s="49" t="b">
        <v>0</v>
      </c>
      <c r="L105" s="49" t="b">
        <v>0</v>
      </c>
      <c r="M105" s="49" t="b">
        <v>0</v>
      </c>
      <c r="N105" s="49" t="b">
        <v>0</v>
      </c>
      <c r="O105" s="49" t="b">
        <v>0</v>
      </c>
      <c r="P105" s="14" t="s">
        <v>23</v>
      </c>
      <c r="Q105" s="49" t="b">
        <v>0</v>
      </c>
      <c r="R105" s="49" t="b">
        <v>0</v>
      </c>
      <c r="S105" s="15" t="b">
        <v>0</v>
      </c>
      <c r="T105" s="15" t="b">
        <v>0</v>
      </c>
      <c r="U105" s="14" t="s">
        <v>194</v>
      </c>
      <c r="W105" s="47" t="s">
        <v>260</v>
      </c>
    </row>
    <row r="106" ht="17.25" customHeight="1">
      <c r="A106" s="47" t="s">
        <v>261</v>
      </c>
      <c r="B106" s="48" t="s">
        <v>72</v>
      </c>
      <c r="C106" s="47" t="s">
        <v>72</v>
      </c>
      <c r="D106" s="47" t="s">
        <v>122</v>
      </c>
      <c r="E106" s="47" t="s">
        <v>82</v>
      </c>
      <c r="F106" s="47" t="s">
        <v>86</v>
      </c>
      <c r="G106" s="47" t="s">
        <v>16</v>
      </c>
      <c r="H106" s="49" t="b">
        <v>0</v>
      </c>
      <c r="I106" s="49" t="b">
        <v>1</v>
      </c>
      <c r="J106" s="49" t="b">
        <v>0</v>
      </c>
      <c r="K106" s="49" t="b">
        <v>0</v>
      </c>
      <c r="L106" s="49" t="b">
        <v>0</v>
      </c>
      <c r="M106" s="49" t="b">
        <v>0</v>
      </c>
      <c r="N106" s="49" t="b">
        <v>0</v>
      </c>
      <c r="O106" s="49" t="b">
        <v>0</v>
      </c>
      <c r="P106" s="14" t="s">
        <v>87</v>
      </c>
      <c r="Q106" s="49" t="b">
        <v>0</v>
      </c>
      <c r="R106" s="49" t="b">
        <v>0</v>
      </c>
      <c r="S106" s="15" t="b">
        <v>0</v>
      </c>
      <c r="T106" s="15" t="b">
        <v>0</v>
      </c>
      <c r="U106" s="47"/>
      <c r="V106" s="47"/>
      <c r="W106" s="47" t="s">
        <v>262</v>
      </c>
    </row>
    <row r="107" ht="17.25" customHeight="1">
      <c r="A107" s="47" t="s">
        <v>263</v>
      </c>
      <c r="B107" s="48" t="s">
        <v>72</v>
      </c>
      <c r="C107" s="47" t="s">
        <v>110</v>
      </c>
      <c r="D107" s="47" t="s">
        <v>85</v>
      </c>
      <c r="E107" s="47" t="s">
        <v>75</v>
      </c>
      <c r="F107" s="47" t="s">
        <v>86</v>
      </c>
      <c r="G107" s="47" t="s">
        <v>8</v>
      </c>
      <c r="H107" s="49" t="b">
        <v>0</v>
      </c>
      <c r="I107" s="49" t="b">
        <v>1</v>
      </c>
      <c r="J107" s="49"/>
      <c r="K107" s="49" t="b">
        <v>0</v>
      </c>
      <c r="L107" s="49" t="b">
        <v>0</v>
      </c>
      <c r="M107" s="49" t="b">
        <v>0</v>
      </c>
      <c r="N107" s="49" t="b">
        <v>0</v>
      </c>
      <c r="O107" s="49" t="b">
        <v>0</v>
      </c>
      <c r="P107" s="14" t="s">
        <v>23</v>
      </c>
      <c r="Q107" s="49" t="b">
        <v>0</v>
      </c>
      <c r="R107" s="49" t="b">
        <v>0</v>
      </c>
      <c r="S107" s="15" t="b">
        <v>0</v>
      </c>
      <c r="T107" s="15" t="b">
        <v>0</v>
      </c>
      <c r="U107" s="47"/>
      <c r="V107" s="47"/>
      <c r="W107" s="47"/>
    </row>
    <row r="108" ht="17.25" customHeight="1">
      <c r="A108" s="47" t="s">
        <v>264</v>
      </c>
      <c r="B108" s="48" t="s">
        <v>109</v>
      </c>
      <c r="C108" s="47" t="s">
        <v>110</v>
      </c>
      <c r="D108" s="47" t="s">
        <v>74</v>
      </c>
      <c r="E108" s="47" t="s">
        <v>75</v>
      </c>
      <c r="F108" s="47" t="s">
        <v>76</v>
      </c>
      <c r="G108" s="47" t="s">
        <v>8</v>
      </c>
      <c r="H108" s="49" t="b">
        <v>0</v>
      </c>
      <c r="I108" s="49" t="b">
        <v>0</v>
      </c>
      <c r="J108" s="49"/>
      <c r="K108" s="49" t="b">
        <v>0</v>
      </c>
      <c r="L108" s="49" t="b">
        <v>0</v>
      </c>
      <c r="M108" s="49" t="b">
        <v>1</v>
      </c>
      <c r="N108" s="49" t="b">
        <v>0</v>
      </c>
      <c r="O108" s="49" t="b">
        <v>0</v>
      </c>
      <c r="P108" s="14" t="s">
        <v>23</v>
      </c>
      <c r="Q108" s="49" t="b">
        <v>1</v>
      </c>
      <c r="R108" s="49" t="b">
        <v>1</v>
      </c>
      <c r="S108" s="15" t="b">
        <v>0</v>
      </c>
      <c r="T108" s="15" t="b">
        <v>0</v>
      </c>
    </row>
    <row r="109" ht="17.25" customHeight="1">
      <c r="A109" s="47" t="s">
        <v>265</v>
      </c>
      <c r="B109" s="48" t="s">
        <v>99</v>
      </c>
      <c r="C109" s="47" t="s">
        <v>95</v>
      </c>
      <c r="D109" s="47" t="s">
        <v>100</v>
      </c>
      <c r="E109" s="47" t="s">
        <v>96</v>
      </c>
      <c r="F109" s="47" t="s">
        <v>76</v>
      </c>
      <c r="G109" s="47" t="s">
        <v>11</v>
      </c>
      <c r="H109" s="49" t="b">
        <v>1</v>
      </c>
      <c r="I109" s="49" t="b">
        <v>0</v>
      </c>
      <c r="J109" s="49"/>
      <c r="K109" s="49" t="b">
        <v>0</v>
      </c>
      <c r="L109" s="49" t="b">
        <v>0</v>
      </c>
      <c r="M109" s="49" t="b">
        <v>0</v>
      </c>
      <c r="N109" s="49" t="b">
        <v>0</v>
      </c>
      <c r="O109" s="49" t="b">
        <v>0</v>
      </c>
      <c r="P109" s="14" t="s">
        <v>113</v>
      </c>
      <c r="Q109" s="49" t="b">
        <v>1</v>
      </c>
      <c r="R109" s="49" t="b">
        <v>1</v>
      </c>
      <c r="S109" s="15" t="b">
        <v>0</v>
      </c>
      <c r="T109" s="15" t="b">
        <v>0</v>
      </c>
      <c r="V109" s="14" t="s">
        <v>106</v>
      </c>
    </row>
    <row r="110" ht="17.25" customHeight="1">
      <c r="A110" s="47" t="s">
        <v>266</v>
      </c>
      <c r="B110" s="48" t="s">
        <v>109</v>
      </c>
      <c r="C110" s="47" t="s">
        <v>110</v>
      </c>
      <c r="D110" s="47" t="s">
        <v>122</v>
      </c>
      <c r="E110" s="47" t="s">
        <v>75</v>
      </c>
      <c r="F110" s="47" t="s">
        <v>86</v>
      </c>
      <c r="G110" s="47" t="s">
        <v>21</v>
      </c>
      <c r="H110" s="49" t="b">
        <v>0</v>
      </c>
      <c r="I110" s="49" t="b">
        <v>0</v>
      </c>
      <c r="J110" s="49"/>
      <c r="K110" s="49" t="b">
        <v>0</v>
      </c>
      <c r="L110" s="49" t="b">
        <v>0</v>
      </c>
      <c r="M110" s="49" t="b">
        <v>0</v>
      </c>
      <c r="N110" s="49" t="b">
        <v>0</v>
      </c>
      <c r="O110" s="49" t="b">
        <v>0</v>
      </c>
      <c r="P110" s="14" t="s">
        <v>23</v>
      </c>
      <c r="Q110" s="49" t="b">
        <v>1</v>
      </c>
      <c r="R110" s="49" t="b">
        <v>1</v>
      </c>
      <c r="S110" s="15" t="b">
        <v>0</v>
      </c>
      <c r="T110" s="15" t="b">
        <v>0</v>
      </c>
      <c r="V110" s="14" t="s">
        <v>106</v>
      </c>
    </row>
    <row r="111" ht="17.25" customHeight="1">
      <c r="A111" s="47" t="s">
        <v>267</v>
      </c>
      <c r="B111" s="48" t="s">
        <v>99</v>
      </c>
      <c r="C111" s="47" t="s">
        <v>95</v>
      </c>
      <c r="D111" s="47" t="s">
        <v>85</v>
      </c>
      <c r="E111" s="47" t="s">
        <v>96</v>
      </c>
      <c r="F111" s="47" t="s">
        <v>86</v>
      </c>
      <c r="G111" s="47" t="s">
        <v>11</v>
      </c>
      <c r="H111" s="49" t="b">
        <v>0</v>
      </c>
      <c r="I111" s="49" t="b">
        <v>0</v>
      </c>
      <c r="J111" s="49"/>
      <c r="K111" s="49" t="b">
        <v>0</v>
      </c>
      <c r="L111" s="49" t="b">
        <v>0</v>
      </c>
      <c r="M111" s="49" t="b">
        <v>0</v>
      </c>
      <c r="N111" s="49" t="b">
        <v>0</v>
      </c>
      <c r="O111" s="49" t="b">
        <v>0</v>
      </c>
      <c r="P111" s="14" t="s">
        <v>23</v>
      </c>
      <c r="Q111" s="49" t="b">
        <v>0</v>
      </c>
      <c r="R111" s="49" t="b">
        <v>0</v>
      </c>
      <c r="S111" s="14" t="b">
        <v>0</v>
      </c>
      <c r="T111" s="15" t="b">
        <v>0</v>
      </c>
      <c r="V111" s="14"/>
    </row>
    <row r="112" ht="17.25" customHeight="1">
      <c r="A112" s="64" t="s">
        <v>268</v>
      </c>
      <c r="B112" s="48" t="s">
        <v>72</v>
      </c>
      <c r="C112" s="47" t="s">
        <v>72</v>
      </c>
      <c r="D112" s="47" t="s">
        <v>122</v>
      </c>
      <c r="E112" s="47" t="s">
        <v>75</v>
      </c>
      <c r="F112" s="47" t="s">
        <v>86</v>
      </c>
      <c r="G112" s="47" t="s">
        <v>8</v>
      </c>
      <c r="H112" s="49" t="b">
        <v>1</v>
      </c>
      <c r="I112" s="49" t="b">
        <v>0</v>
      </c>
      <c r="J112" s="49"/>
      <c r="K112" s="49" t="b">
        <v>0</v>
      </c>
      <c r="L112" s="49" t="b">
        <v>0</v>
      </c>
      <c r="M112" s="49" t="b">
        <v>0</v>
      </c>
      <c r="N112" s="49" t="b">
        <v>0</v>
      </c>
      <c r="O112" s="49" t="b">
        <v>0</v>
      </c>
      <c r="P112" s="14" t="s">
        <v>78</v>
      </c>
      <c r="Q112" s="49" t="b">
        <v>0</v>
      </c>
      <c r="R112" s="49" t="b">
        <v>0</v>
      </c>
      <c r="S112" s="15" t="b">
        <v>0</v>
      </c>
      <c r="T112" s="15" t="b">
        <v>0</v>
      </c>
    </row>
    <row r="113" ht="17.25" customHeight="1">
      <c r="A113" s="53" t="s">
        <v>269</v>
      </c>
      <c r="B113" s="48" t="s">
        <v>94</v>
      </c>
      <c r="C113" s="47" t="s">
        <v>95</v>
      </c>
      <c r="D113" s="47" t="s">
        <v>90</v>
      </c>
      <c r="E113" s="47" t="s">
        <v>75</v>
      </c>
      <c r="F113" s="47" t="s">
        <v>86</v>
      </c>
      <c r="G113" s="47" t="s">
        <v>11</v>
      </c>
      <c r="H113" s="49" t="b">
        <v>1</v>
      </c>
      <c r="I113" s="49" t="b">
        <v>0</v>
      </c>
      <c r="J113" s="49"/>
      <c r="K113" s="49" t="b">
        <v>0</v>
      </c>
      <c r="L113" s="49" t="b">
        <v>0</v>
      </c>
      <c r="M113" s="49" t="b">
        <v>0</v>
      </c>
      <c r="N113" s="49" t="b">
        <v>0</v>
      </c>
      <c r="O113" s="49" t="b">
        <v>0</v>
      </c>
      <c r="P113" s="14" t="s">
        <v>113</v>
      </c>
      <c r="Q113" s="49" t="b">
        <v>1</v>
      </c>
      <c r="R113" s="49" t="b">
        <v>1</v>
      </c>
      <c r="S113" s="15" t="b">
        <v>0</v>
      </c>
      <c r="T113" s="15" t="b">
        <v>0</v>
      </c>
      <c r="W113" s="14" t="s">
        <v>270</v>
      </c>
    </row>
    <row r="114" ht="17.25" customHeight="1">
      <c r="A114" s="47" t="s">
        <v>271</v>
      </c>
      <c r="B114" s="48" t="s">
        <v>103</v>
      </c>
      <c r="C114" s="47" t="s">
        <v>103</v>
      </c>
      <c r="D114" s="47" t="s">
        <v>142</v>
      </c>
      <c r="E114" s="47" t="s">
        <v>75</v>
      </c>
      <c r="F114" s="47" t="s">
        <v>86</v>
      </c>
      <c r="G114" s="47" t="s">
        <v>21</v>
      </c>
      <c r="H114" s="49" t="b">
        <v>0</v>
      </c>
      <c r="I114" s="49" t="b">
        <v>0</v>
      </c>
      <c r="J114" s="49"/>
      <c r="K114" s="49" t="b">
        <v>0</v>
      </c>
      <c r="L114" s="49" t="b">
        <v>0</v>
      </c>
      <c r="M114" s="49" t="b">
        <v>0</v>
      </c>
      <c r="N114" s="49" t="b">
        <v>0</v>
      </c>
      <c r="O114" s="49" t="b">
        <v>0</v>
      </c>
      <c r="P114" s="14"/>
      <c r="Q114" s="49" t="b">
        <v>0</v>
      </c>
      <c r="R114" s="49" t="b">
        <v>0</v>
      </c>
      <c r="S114" s="14" t="b">
        <v>0</v>
      </c>
      <c r="T114" s="15" t="b">
        <v>0</v>
      </c>
      <c r="V114" s="14"/>
      <c r="W114" s="14"/>
      <c r="X114" s="47"/>
      <c r="Y114" s="47"/>
      <c r="Z114" s="47"/>
      <c r="AA114" s="47"/>
      <c r="AB114" s="47"/>
      <c r="AC114" s="47"/>
      <c r="AD114" s="47"/>
      <c r="AE114" s="47"/>
      <c r="AF114" s="47"/>
      <c r="AG114" s="47"/>
      <c r="AH114" s="47"/>
      <c r="AI114" s="47"/>
      <c r="AJ114" s="47"/>
      <c r="AK114" s="47"/>
    </row>
    <row r="115" ht="17.25" customHeight="1">
      <c r="A115" s="53" t="s">
        <v>272</v>
      </c>
      <c r="B115" s="48" t="s">
        <v>94</v>
      </c>
      <c r="C115" s="47" t="s">
        <v>95</v>
      </c>
      <c r="D115" s="47" t="s">
        <v>85</v>
      </c>
      <c r="E115" s="47" t="s">
        <v>101</v>
      </c>
      <c r="F115" s="47" t="s">
        <v>86</v>
      </c>
      <c r="G115" s="47" t="s">
        <v>11</v>
      </c>
      <c r="H115" s="49" t="b">
        <v>0</v>
      </c>
      <c r="I115" s="49" t="b">
        <v>0</v>
      </c>
      <c r="J115" s="49"/>
      <c r="K115" s="49" t="b">
        <v>1</v>
      </c>
      <c r="L115" s="49" t="b">
        <v>1</v>
      </c>
      <c r="M115" s="49" t="b">
        <v>0</v>
      </c>
      <c r="N115" s="49" t="b">
        <v>0</v>
      </c>
      <c r="O115" s="49" t="b">
        <v>1</v>
      </c>
      <c r="P115" s="14" t="s">
        <v>23</v>
      </c>
      <c r="Q115" s="49" t="b">
        <v>1</v>
      </c>
      <c r="R115" s="49" t="b">
        <v>1</v>
      </c>
      <c r="S115" s="14" t="b">
        <v>1</v>
      </c>
      <c r="T115" s="15" t="b">
        <v>0</v>
      </c>
      <c r="V115" s="14" t="s">
        <v>106</v>
      </c>
      <c r="W115" s="14" t="s">
        <v>273</v>
      </c>
      <c r="X115" s="47"/>
      <c r="Y115" s="47"/>
      <c r="Z115" s="47"/>
      <c r="AA115" s="47"/>
      <c r="AB115" s="47"/>
      <c r="AC115" s="47"/>
      <c r="AD115" s="47"/>
      <c r="AE115" s="47"/>
      <c r="AF115" s="47"/>
      <c r="AG115" s="47"/>
      <c r="AH115" s="47"/>
      <c r="AI115" s="47"/>
      <c r="AJ115" s="47"/>
      <c r="AK115" s="47"/>
    </row>
    <row r="116" ht="17.25" customHeight="1">
      <c r="A116" s="47" t="s">
        <v>274</v>
      </c>
      <c r="B116" s="48" t="s">
        <v>72</v>
      </c>
      <c r="C116" s="47" t="s">
        <v>72</v>
      </c>
      <c r="D116" s="47" t="s">
        <v>100</v>
      </c>
      <c r="E116" s="47" t="s">
        <v>91</v>
      </c>
      <c r="F116" s="47" t="s">
        <v>76</v>
      </c>
      <c r="G116" s="47" t="s">
        <v>15</v>
      </c>
      <c r="H116" s="49" t="b">
        <v>0</v>
      </c>
      <c r="I116" s="49" t="b">
        <v>0</v>
      </c>
      <c r="J116" s="49" t="s">
        <v>214</v>
      </c>
      <c r="K116" s="49" t="b">
        <v>1</v>
      </c>
      <c r="L116" s="49" t="b">
        <v>1</v>
      </c>
      <c r="M116" s="49" t="b">
        <v>0</v>
      </c>
      <c r="N116" s="49" t="b">
        <v>0</v>
      </c>
      <c r="O116" s="49" t="b">
        <v>0</v>
      </c>
      <c r="P116" s="14" t="s">
        <v>87</v>
      </c>
      <c r="Q116" s="49" t="b">
        <v>1</v>
      </c>
      <c r="R116" s="49" t="b">
        <v>1</v>
      </c>
      <c r="S116" s="15" t="b">
        <v>0</v>
      </c>
      <c r="T116" s="15" t="b">
        <v>0</v>
      </c>
      <c r="U116" s="14" t="s">
        <v>215</v>
      </c>
      <c r="W116" s="14" t="s">
        <v>275</v>
      </c>
    </row>
    <row r="117" ht="17.25" customHeight="1">
      <c r="A117" s="47" t="s">
        <v>276</v>
      </c>
      <c r="B117" s="48" t="s">
        <v>72</v>
      </c>
      <c r="C117" s="47" t="s">
        <v>72</v>
      </c>
      <c r="D117" s="47" t="s">
        <v>74</v>
      </c>
      <c r="E117" s="47" t="s">
        <v>82</v>
      </c>
      <c r="F117" s="47" t="s">
        <v>76</v>
      </c>
      <c r="G117" s="47" t="s">
        <v>16</v>
      </c>
      <c r="H117" s="49" t="b">
        <v>0</v>
      </c>
      <c r="I117" s="49" t="b">
        <v>0</v>
      </c>
      <c r="J117" s="49"/>
      <c r="K117" s="49" t="b">
        <v>0</v>
      </c>
      <c r="L117" s="49" t="b">
        <v>0</v>
      </c>
      <c r="M117" s="49" t="b">
        <v>1</v>
      </c>
      <c r="N117" s="49" t="b">
        <v>0</v>
      </c>
      <c r="O117" s="49" t="b">
        <v>0</v>
      </c>
      <c r="P117" s="14" t="s">
        <v>23</v>
      </c>
      <c r="Q117" s="49" t="b">
        <v>1</v>
      </c>
      <c r="R117" s="49" t="b">
        <v>1</v>
      </c>
      <c r="S117" s="15" t="b">
        <v>0</v>
      </c>
      <c r="T117" s="15" t="b">
        <v>0</v>
      </c>
    </row>
    <row r="118" ht="17.25" customHeight="1">
      <c r="A118" s="47" t="s">
        <v>277</v>
      </c>
      <c r="B118" s="48" t="s">
        <v>80</v>
      </c>
      <c r="C118" s="47" t="s">
        <v>73</v>
      </c>
      <c r="D118" s="47" t="s">
        <v>122</v>
      </c>
      <c r="E118" s="47" t="s">
        <v>82</v>
      </c>
      <c r="F118" s="47" t="s">
        <v>86</v>
      </c>
      <c r="G118" s="47" t="s">
        <v>21</v>
      </c>
      <c r="H118" s="49" t="b">
        <v>1</v>
      </c>
      <c r="I118" s="49" t="b">
        <v>0</v>
      </c>
      <c r="J118" s="49"/>
      <c r="K118" s="49" t="b">
        <v>0</v>
      </c>
      <c r="L118" s="49" t="b">
        <v>0</v>
      </c>
      <c r="M118" s="49" t="b">
        <v>0</v>
      </c>
      <c r="N118" s="49" t="b">
        <v>0</v>
      </c>
      <c r="O118" s="49" t="b">
        <v>0</v>
      </c>
      <c r="P118" s="14" t="s">
        <v>87</v>
      </c>
      <c r="Q118" s="49" t="b">
        <v>0</v>
      </c>
      <c r="R118" s="49" t="b">
        <v>1</v>
      </c>
      <c r="S118" s="15" t="b">
        <v>0</v>
      </c>
      <c r="T118" s="15" t="b">
        <v>0</v>
      </c>
      <c r="V118" s="14" t="s">
        <v>106</v>
      </c>
    </row>
    <row r="119" ht="17.25" customHeight="1">
      <c r="A119" s="58" t="s">
        <v>278</v>
      </c>
      <c r="B119" s="48" t="s">
        <v>158</v>
      </c>
      <c r="C119" s="47" t="s">
        <v>95</v>
      </c>
      <c r="D119" s="47" t="s">
        <v>90</v>
      </c>
      <c r="E119" s="47" t="s">
        <v>75</v>
      </c>
      <c r="F119" s="47" t="s">
        <v>86</v>
      </c>
      <c r="G119" s="47" t="s">
        <v>8</v>
      </c>
      <c r="H119" s="49" t="b">
        <v>0</v>
      </c>
      <c r="I119" s="49" t="b">
        <v>0</v>
      </c>
      <c r="J119" s="49" t="b">
        <v>0</v>
      </c>
      <c r="K119" s="49" t="b">
        <v>0</v>
      </c>
      <c r="L119" s="49" t="b">
        <v>0</v>
      </c>
      <c r="M119" s="49" t="b">
        <v>0</v>
      </c>
      <c r="N119" s="49" t="b">
        <v>0</v>
      </c>
      <c r="O119" s="49" t="b">
        <v>0</v>
      </c>
      <c r="P119" s="14" t="s">
        <v>87</v>
      </c>
      <c r="Q119" s="49" t="b">
        <v>1</v>
      </c>
      <c r="R119" s="49" t="b">
        <v>1</v>
      </c>
      <c r="S119" s="15" t="b">
        <v>0</v>
      </c>
      <c r="T119" s="15" t="b">
        <v>0</v>
      </c>
    </row>
    <row r="120" ht="17.25" customHeight="1">
      <c r="A120" s="47" t="s">
        <v>279</v>
      </c>
      <c r="B120" s="48" t="s">
        <v>109</v>
      </c>
      <c r="C120" s="47" t="s">
        <v>110</v>
      </c>
      <c r="D120" s="47" t="s">
        <v>74</v>
      </c>
      <c r="E120" s="47" t="s">
        <v>75</v>
      </c>
      <c r="F120" s="47" t="s">
        <v>76</v>
      </c>
      <c r="G120" s="47" t="s">
        <v>8</v>
      </c>
      <c r="H120" s="49" t="b">
        <v>0</v>
      </c>
      <c r="I120" s="49" t="b">
        <v>0</v>
      </c>
      <c r="J120" s="49"/>
      <c r="K120" s="49" t="b">
        <v>0</v>
      </c>
      <c r="L120" s="49" t="b">
        <v>0</v>
      </c>
      <c r="M120" s="49" t="b">
        <v>1</v>
      </c>
      <c r="N120" s="49" t="b">
        <v>0</v>
      </c>
      <c r="O120" s="49" t="b">
        <v>0</v>
      </c>
      <c r="P120" s="14" t="s">
        <v>23</v>
      </c>
      <c r="Q120" s="49" t="b">
        <v>1</v>
      </c>
      <c r="R120" s="49" t="b">
        <v>1</v>
      </c>
      <c r="S120" s="15" t="b">
        <v>0</v>
      </c>
      <c r="T120" s="15" t="b">
        <v>0</v>
      </c>
    </row>
    <row r="121" ht="17.25" customHeight="1">
      <c r="A121" s="53" t="s">
        <v>280</v>
      </c>
      <c r="B121" s="48" t="s">
        <v>99</v>
      </c>
      <c r="C121" s="47" t="s">
        <v>95</v>
      </c>
      <c r="D121" s="47" t="s">
        <v>74</v>
      </c>
      <c r="E121" s="47" t="s">
        <v>101</v>
      </c>
      <c r="F121" s="47" t="s">
        <v>76</v>
      </c>
      <c r="G121" s="47" t="s">
        <v>11</v>
      </c>
      <c r="H121" s="49" t="b">
        <v>1</v>
      </c>
      <c r="I121" s="49" t="b">
        <v>0</v>
      </c>
      <c r="J121" s="49"/>
      <c r="K121" s="49" t="b">
        <v>1</v>
      </c>
      <c r="L121" s="49" t="b">
        <v>1</v>
      </c>
      <c r="M121" s="49" t="b">
        <v>1</v>
      </c>
      <c r="N121" s="49" t="b">
        <v>1</v>
      </c>
      <c r="O121" s="49" t="b">
        <v>0</v>
      </c>
      <c r="P121" s="14" t="s">
        <v>113</v>
      </c>
      <c r="Q121" s="49" t="b">
        <v>1</v>
      </c>
      <c r="R121" s="49" t="b">
        <v>1</v>
      </c>
      <c r="S121" s="15" t="b">
        <v>0</v>
      </c>
      <c r="T121" s="14" t="b">
        <v>1</v>
      </c>
      <c r="V121" s="14" t="s">
        <v>106</v>
      </c>
      <c r="X121" s="47"/>
      <c r="Y121" s="47"/>
      <c r="Z121" s="47"/>
      <c r="AA121" s="47"/>
      <c r="AB121" s="47"/>
      <c r="AC121" s="47"/>
      <c r="AD121" s="47"/>
      <c r="AE121" s="47"/>
      <c r="AF121" s="47"/>
      <c r="AG121" s="47"/>
      <c r="AH121" s="47"/>
      <c r="AI121" s="47"/>
      <c r="AJ121" s="47"/>
      <c r="AK121" s="47"/>
    </row>
    <row r="122" ht="17.25" customHeight="1">
      <c r="A122" s="53" t="s">
        <v>281</v>
      </c>
      <c r="B122" s="48" t="s">
        <v>99</v>
      </c>
      <c r="C122" s="47" t="s">
        <v>95</v>
      </c>
      <c r="D122" s="47" t="s">
        <v>85</v>
      </c>
      <c r="E122" s="47" t="s">
        <v>75</v>
      </c>
      <c r="F122" s="47" t="s">
        <v>86</v>
      </c>
      <c r="G122" s="47" t="s">
        <v>11</v>
      </c>
      <c r="H122" s="49" t="b">
        <v>1</v>
      </c>
      <c r="I122" s="49" t="b">
        <v>0</v>
      </c>
      <c r="J122" s="49"/>
      <c r="K122" s="49" t="b">
        <v>0</v>
      </c>
      <c r="L122" s="49" t="b">
        <v>0</v>
      </c>
      <c r="M122" s="49" t="b">
        <v>0</v>
      </c>
      <c r="N122" s="49" t="b">
        <v>0</v>
      </c>
      <c r="O122" s="49" t="b">
        <v>0</v>
      </c>
      <c r="P122" s="14" t="s">
        <v>113</v>
      </c>
      <c r="Q122" s="49" t="b">
        <v>1</v>
      </c>
      <c r="R122" s="49" t="b">
        <v>1</v>
      </c>
      <c r="S122" s="15" t="b">
        <v>0</v>
      </c>
      <c r="T122" s="15" t="b">
        <v>0</v>
      </c>
    </row>
    <row r="123" ht="17.25" customHeight="1">
      <c r="A123" s="47" t="s">
        <v>282</v>
      </c>
      <c r="B123" s="48" t="s">
        <v>158</v>
      </c>
      <c r="C123" s="47" t="s">
        <v>95</v>
      </c>
      <c r="D123" s="47" t="s">
        <v>122</v>
      </c>
      <c r="E123" s="47" t="s">
        <v>75</v>
      </c>
      <c r="F123" s="47" t="s">
        <v>86</v>
      </c>
      <c r="G123" s="47" t="s">
        <v>8</v>
      </c>
      <c r="H123" s="49" t="b">
        <v>0</v>
      </c>
      <c r="I123" s="49" t="b">
        <v>0</v>
      </c>
      <c r="J123" s="49"/>
      <c r="K123" s="49" t="b">
        <v>1</v>
      </c>
      <c r="L123" s="49" t="b">
        <v>0</v>
      </c>
      <c r="M123" s="49" t="b">
        <v>0</v>
      </c>
      <c r="N123" s="49" t="b">
        <v>0</v>
      </c>
      <c r="O123" s="49" t="b">
        <v>0</v>
      </c>
      <c r="P123" s="14" t="s">
        <v>113</v>
      </c>
      <c r="Q123" s="49" t="b">
        <v>1</v>
      </c>
      <c r="R123" s="49" t="b">
        <v>1</v>
      </c>
      <c r="S123" s="15" t="b">
        <v>0</v>
      </c>
      <c r="T123" s="15" t="b">
        <v>0</v>
      </c>
    </row>
    <row r="124" ht="17.25" customHeight="1">
      <c r="A124" s="51" t="s">
        <v>283</v>
      </c>
      <c r="B124" s="51" t="s">
        <v>80</v>
      </c>
      <c r="C124" s="51" t="s">
        <v>73</v>
      </c>
      <c r="D124" s="48" t="s">
        <v>205</v>
      </c>
      <c r="E124" s="47" t="s">
        <v>82</v>
      </c>
      <c r="F124" s="51" t="s">
        <v>86</v>
      </c>
      <c r="G124" s="48" t="s">
        <v>21</v>
      </c>
      <c r="H124" s="52" t="b">
        <v>0</v>
      </c>
      <c r="I124" s="52" t="b">
        <v>0</v>
      </c>
      <c r="J124" s="52"/>
      <c r="K124" s="52" t="b">
        <v>0</v>
      </c>
      <c r="L124" s="52" t="b">
        <v>0</v>
      </c>
      <c r="M124" s="52" t="b">
        <v>0</v>
      </c>
      <c r="N124" s="52" t="b">
        <v>0</v>
      </c>
      <c r="O124" s="52" t="b">
        <v>0</v>
      </c>
      <c r="P124" s="48" t="s">
        <v>23</v>
      </c>
      <c r="Q124" s="52" t="b">
        <v>0</v>
      </c>
      <c r="R124" s="52" t="b">
        <v>0</v>
      </c>
      <c r="S124" s="52" t="b">
        <v>0</v>
      </c>
      <c r="T124" s="52" t="b">
        <v>0</v>
      </c>
      <c r="U124" s="47"/>
      <c r="V124" s="47"/>
      <c r="W124" s="47"/>
    </row>
    <row r="125" ht="17.25" customHeight="1">
      <c r="A125" s="47" t="s">
        <v>284</v>
      </c>
      <c r="B125" s="48" t="s">
        <v>285</v>
      </c>
      <c r="C125" s="47" t="s">
        <v>73</v>
      </c>
      <c r="D125" s="47" t="s">
        <v>90</v>
      </c>
      <c r="E125" s="47" t="s">
        <v>82</v>
      </c>
      <c r="F125" s="47" t="s">
        <v>86</v>
      </c>
      <c r="G125" s="47" t="s">
        <v>247</v>
      </c>
      <c r="H125" s="49" t="b">
        <v>0</v>
      </c>
      <c r="I125" s="49" t="b">
        <v>0</v>
      </c>
      <c r="J125" s="49" t="s">
        <v>214</v>
      </c>
      <c r="K125" s="49" t="b">
        <v>0</v>
      </c>
      <c r="L125" s="49" t="b">
        <v>0</v>
      </c>
      <c r="M125" s="49" t="b">
        <v>0</v>
      </c>
      <c r="N125" s="49" t="b">
        <v>0</v>
      </c>
      <c r="O125" s="49" t="b">
        <v>0</v>
      </c>
      <c r="P125" s="14" t="s">
        <v>113</v>
      </c>
      <c r="Q125" s="49" t="b">
        <v>0</v>
      </c>
      <c r="R125" s="49" t="b">
        <v>0</v>
      </c>
      <c r="S125" s="15" t="b">
        <v>0</v>
      </c>
      <c r="T125" s="15" t="b">
        <v>0</v>
      </c>
      <c r="U125" s="47"/>
      <c r="V125" s="47"/>
      <c r="W125" s="47" t="s">
        <v>286</v>
      </c>
    </row>
    <row r="126" ht="17.25" customHeight="1">
      <c r="A126" s="47" t="s">
        <v>287</v>
      </c>
      <c r="B126" s="48" t="s">
        <v>288</v>
      </c>
      <c r="C126" s="47" t="s">
        <v>84</v>
      </c>
      <c r="D126" s="47" t="s">
        <v>85</v>
      </c>
      <c r="E126" s="47" t="s">
        <v>96</v>
      </c>
      <c r="F126" s="47" t="s">
        <v>86</v>
      </c>
      <c r="G126" s="47" t="s">
        <v>15</v>
      </c>
      <c r="H126" s="49" t="b">
        <v>0</v>
      </c>
      <c r="I126" s="49" t="b">
        <v>0</v>
      </c>
      <c r="J126" s="49" t="s">
        <v>242</v>
      </c>
      <c r="K126" s="49" t="b">
        <v>0</v>
      </c>
      <c r="L126" s="49" t="b">
        <v>0</v>
      </c>
      <c r="M126" s="49" t="b">
        <v>0</v>
      </c>
      <c r="N126" s="49" t="b">
        <v>0</v>
      </c>
      <c r="O126" s="49" t="b">
        <v>0</v>
      </c>
      <c r="P126" s="14" t="s">
        <v>23</v>
      </c>
      <c r="Q126" s="49" t="b">
        <v>0</v>
      </c>
      <c r="R126" s="49" t="b">
        <v>0</v>
      </c>
      <c r="S126" s="15" t="b">
        <v>0</v>
      </c>
      <c r="T126" s="15" t="b">
        <v>0</v>
      </c>
      <c r="U126" s="47" t="s">
        <v>215</v>
      </c>
      <c r="V126" s="47"/>
      <c r="W126" s="47" t="s">
        <v>289</v>
      </c>
      <c r="X126" s="47"/>
      <c r="Y126" s="47"/>
      <c r="Z126" s="47"/>
      <c r="AA126" s="47"/>
      <c r="AB126" s="47"/>
      <c r="AC126" s="47"/>
      <c r="AD126" s="47"/>
      <c r="AE126" s="47"/>
      <c r="AF126" s="47"/>
      <c r="AG126" s="47"/>
      <c r="AH126" s="47"/>
      <c r="AI126" s="47"/>
      <c r="AJ126" s="47"/>
      <c r="AK126" s="47"/>
    </row>
    <row r="127" ht="17.25" customHeight="1">
      <c r="A127" s="58" t="s">
        <v>290</v>
      </c>
      <c r="B127" s="48" t="s">
        <v>158</v>
      </c>
      <c r="C127" s="47" t="s">
        <v>95</v>
      </c>
      <c r="D127" s="47" t="s">
        <v>85</v>
      </c>
      <c r="E127" s="47" t="s">
        <v>75</v>
      </c>
      <c r="F127" s="47" t="s">
        <v>86</v>
      </c>
      <c r="G127" s="47" t="s">
        <v>8</v>
      </c>
      <c r="H127" s="49" t="b">
        <v>1</v>
      </c>
      <c r="I127" s="49" t="b">
        <v>0</v>
      </c>
      <c r="J127" s="49"/>
      <c r="K127" s="49" t="b">
        <v>0</v>
      </c>
      <c r="L127" s="49" t="b">
        <v>0</v>
      </c>
      <c r="M127" s="49" t="b">
        <v>0</v>
      </c>
      <c r="N127" s="49" t="b">
        <v>0</v>
      </c>
      <c r="O127" s="49" t="b">
        <v>0</v>
      </c>
      <c r="P127" s="14" t="s">
        <v>78</v>
      </c>
      <c r="Q127" s="49" t="b">
        <v>1</v>
      </c>
      <c r="R127" s="49" t="b">
        <v>1</v>
      </c>
      <c r="S127" s="15" t="b">
        <v>0</v>
      </c>
      <c r="T127" s="15" t="b">
        <v>0</v>
      </c>
    </row>
    <row r="128" ht="17.25" customHeight="1">
      <c r="A128" s="65" t="s">
        <v>291</v>
      </c>
      <c r="B128" s="48" t="s">
        <v>232</v>
      </c>
      <c r="C128" s="48" t="s">
        <v>72</v>
      </c>
      <c r="D128" s="47" t="s">
        <v>74</v>
      </c>
      <c r="E128" s="47" t="s">
        <v>96</v>
      </c>
      <c r="F128" s="47" t="s">
        <v>76</v>
      </c>
      <c r="G128" s="47" t="s">
        <v>8</v>
      </c>
      <c r="H128" s="49" t="b">
        <v>0</v>
      </c>
      <c r="I128" s="49" t="b">
        <v>0</v>
      </c>
      <c r="J128" s="49" t="b">
        <v>0</v>
      </c>
      <c r="K128" s="49" t="b">
        <v>0</v>
      </c>
      <c r="L128" s="49" t="b">
        <v>0</v>
      </c>
      <c r="M128" s="49" t="b">
        <v>0</v>
      </c>
      <c r="N128" s="49" t="b">
        <v>0</v>
      </c>
      <c r="O128" s="49" t="b">
        <v>1</v>
      </c>
      <c r="P128" s="14" t="s">
        <v>138</v>
      </c>
      <c r="Q128" s="49" t="b">
        <v>1</v>
      </c>
      <c r="R128" s="49" t="b">
        <v>0</v>
      </c>
      <c r="S128" s="14" t="b">
        <v>0</v>
      </c>
      <c r="T128" s="14" t="b">
        <v>0</v>
      </c>
      <c r="V128" s="14" t="s">
        <v>106</v>
      </c>
    </row>
    <row r="129" ht="17.25" customHeight="1">
      <c r="A129" s="47" t="s">
        <v>292</v>
      </c>
      <c r="B129" s="48" t="s">
        <v>72</v>
      </c>
      <c r="C129" s="47" t="s">
        <v>72</v>
      </c>
      <c r="D129" s="47" t="s">
        <v>100</v>
      </c>
      <c r="E129" s="47" t="s">
        <v>75</v>
      </c>
      <c r="F129" s="47" t="s">
        <v>76</v>
      </c>
      <c r="G129" s="47" t="s">
        <v>8</v>
      </c>
      <c r="H129" s="49" t="b">
        <v>1</v>
      </c>
      <c r="I129" s="49" t="b">
        <v>0</v>
      </c>
      <c r="J129" s="49"/>
      <c r="K129" s="49" t="b">
        <v>1</v>
      </c>
      <c r="L129" s="49" t="b">
        <v>1</v>
      </c>
      <c r="M129" s="49" t="b">
        <v>1</v>
      </c>
      <c r="N129" s="49" t="b">
        <v>1</v>
      </c>
      <c r="O129" s="49" t="b">
        <v>0</v>
      </c>
      <c r="P129" s="14" t="s">
        <v>293</v>
      </c>
      <c r="Q129" s="49" t="b">
        <v>1</v>
      </c>
      <c r="R129" s="49" t="b">
        <v>1</v>
      </c>
      <c r="S129" s="14" t="b">
        <v>1</v>
      </c>
      <c r="T129" s="14" t="b">
        <v>1</v>
      </c>
    </row>
    <row r="130" ht="17.25" customHeight="1">
      <c r="A130" s="66" t="s">
        <v>294</v>
      </c>
      <c r="B130" s="48" t="s">
        <v>99</v>
      </c>
      <c r="C130" s="47" t="s">
        <v>95</v>
      </c>
      <c r="D130" s="47" t="s">
        <v>142</v>
      </c>
      <c r="E130" s="47" t="s">
        <v>75</v>
      </c>
      <c r="F130" s="47" t="s">
        <v>86</v>
      </c>
      <c r="G130" s="47" t="s">
        <v>21</v>
      </c>
      <c r="H130" s="49" t="b">
        <v>0</v>
      </c>
      <c r="I130" s="49" t="b">
        <v>0</v>
      </c>
      <c r="J130" s="49"/>
      <c r="K130" s="49" t="b">
        <v>0</v>
      </c>
      <c r="L130" s="49" t="b">
        <v>0</v>
      </c>
      <c r="M130" s="49" t="b">
        <v>0</v>
      </c>
      <c r="N130" s="49" t="b">
        <v>0</v>
      </c>
      <c r="O130" s="49" t="b">
        <v>1</v>
      </c>
      <c r="P130" s="57"/>
      <c r="Q130" s="49" t="b">
        <v>1</v>
      </c>
      <c r="R130" s="49" t="b">
        <v>1</v>
      </c>
      <c r="X130" s="47"/>
      <c r="Y130" s="47"/>
      <c r="Z130" s="47"/>
      <c r="AA130" s="47"/>
      <c r="AB130" s="47"/>
      <c r="AC130" s="47"/>
      <c r="AD130" s="47"/>
      <c r="AE130" s="47"/>
      <c r="AF130" s="47"/>
      <c r="AG130" s="47"/>
      <c r="AH130" s="47"/>
      <c r="AI130" s="47"/>
      <c r="AJ130" s="47"/>
      <c r="AK130" s="47"/>
    </row>
    <row r="131" ht="17.25" customHeight="1">
      <c r="A131" s="47" t="s">
        <v>295</v>
      </c>
      <c r="B131" s="48" t="s">
        <v>103</v>
      </c>
      <c r="C131" s="48" t="s">
        <v>103</v>
      </c>
      <c r="D131" s="47" t="s">
        <v>142</v>
      </c>
      <c r="E131" s="47" t="s">
        <v>75</v>
      </c>
      <c r="F131" s="47" t="s">
        <v>86</v>
      </c>
      <c r="G131" s="47" t="s">
        <v>21</v>
      </c>
      <c r="H131" s="49" t="b">
        <v>0</v>
      </c>
      <c r="I131" s="49" t="b">
        <v>0</v>
      </c>
      <c r="J131" s="49"/>
      <c r="K131" s="49" t="b">
        <v>0</v>
      </c>
      <c r="L131" s="49" t="b">
        <v>0</v>
      </c>
      <c r="M131" s="49" t="b">
        <v>0</v>
      </c>
      <c r="N131" s="49" t="b">
        <v>0</v>
      </c>
      <c r="O131" s="49" t="b">
        <v>0</v>
      </c>
      <c r="P131" s="57"/>
      <c r="Q131" s="49" t="b">
        <v>1</v>
      </c>
      <c r="R131" s="49" t="b">
        <v>0</v>
      </c>
      <c r="S131" s="15" t="b">
        <v>0</v>
      </c>
      <c r="T131" s="15" t="b">
        <v>0</v>
      </c>
      <c r="V131" s="14" t="s">
        <v>106</v>
      </c>
    </row>
    <row r="132" ht="17.25" customHeight="1">
      <c r="A132" s="47" t="s">
        <v>296</v>
      </c>
      <c r="B132" s="48" t="s">
        <v>297</v>
      </c>
      <c r="C132" s="47" t="s">
        <v>73</v>
      </c>
      <c r="D132" s="47" t="s">
        <v>74</v>
      </c>
      <c r="E132" s="47" t="s">
        <v>82</v>
      </c>
      <c r="F132" s="47" t="s">
        <v>76</v>
      </c>
      <c r="G132" s="47" t="s">
        <v>21</v>
      </c>
      <c r="H132" s="49" t="b">
        <v>1</v>
      </c>
      <c r="I132" s="49" t="b">
        <v>0</v>
      </c>
      <c r="J132" s="49"/>
      <c r="K132" s="49" t="b">
        <v>0</v>
      </c>
      <c r="L132" s="49" t="b">
        <v>0</v>
      </c>
      <c r="M132" s="49" t="b">
        <v>1</v>
      </c>
      <c r="N132" s="49" t="b">
        <v>0</v>
      </c>
      <c r="O132" s="49" t="b">
        <v>0</v>
      </c>
      <c r="P132" s="14" t="s">
        <v>23</v>
      </c>
      <c r="Q132" s="49" t="b">
        <v>0</v>
      </c>
      <c r="R132" s="49" t="b">
        <v>1</v>
      </c>
      <c r="S132" s="15" t="b">
        <v>0</v>
      </c>
      <c r="T132" s="15" t="b">
        <v>0</v>
      </c>
    </row>
    <row r="133" ht="17.25" customHeight="1">
      <c r="A133" s="47" t="s">
        <v>298</v>
      </c>
      <c r="B133" s="48" t="s">
        <v>72</v>
      </c>
      <c r="C133" s="48" t="s">
        <v>72</v>
      </c>
      <c r="D133" s="47" t="s">
        <v>74</v>
      </c>
      <c r="E133" s="47" t="s">
        <v>82</v>
      </c>
      <c r="F133" s="47" t="s">
        <v>76</v>
      </c>
      <c r="G133" s="47" t="s">
        <v>16</v>
      </c>
      <c r="H133" s="49" t="b">
        <v>0</v>
      </c>
      <c r="I133" s="49" t="b">
        <v>0</v>
      </c>
      <c r="J133" s="49" t="b">
        <v>0</v>
      </c>
      <c r="K133" s="49" t="b">
        <v>0</v>
      </c>
      <c r="L133" s="49" t="b">
        <v>0</v>
      </c>
      <c r="M133" s="49" t="b">
        <v>1</v>
      </c>
      <c r="N133" s="49" t="b">
        <v>0</v>
      </c>
      <c r="O133" s="49" t="b">
        <v>0</v>
      </c>
      <c r="P133" s="14" t="s">
        <v>87</v>
      </c>
      <c r="Q133" s="49" t="b">
        <v>0</v>
      </c>
      <c r="R133" s="49" t="b">
        <v>0</v>
      </c>
      <c r="S133" s="47"/>
      <c r="T133" s="47"/>
      <c r="U133" s="47"/>
      <c r="V133" s="47"/>
      <c r="W133" s="47"/>
    </row>
    <row r="134" ht="17.25" customHeight="1">
      <c r="A134" s="53" t="s">
        <v>299</v>
      </c>
      <c r="B134" s="48" t="s">
        <v>80</v>
      </c>
      <c r="C134" s="47" t="s">
        <v>95</v>
      </c>
      <c r="D134" s="47" t="s">
        <v>74</v>
      </c>
      <c r="E134" s="47" t="s">
        <v>82</v>
      </c>
      <c r="F134" s="47" t="s">
        <v>76</v>
      </c>
      <c r="G134" s="47" t="s">
        <v>11</v>
      </c>
      <c r="H134" s="49" t="b">
        <v>0</v>
      </c>
      <c r="I134" s="49" t="b">
        <v>0</v>
      </c>
      <c r="J134" s="49" t="b">
        <v>0</v>
      </c>
      <c r="K134" s="49" t="b">
        <v>0</v>
      </c>
      <c r="L134" s="49" t="b">
        <v>0</v>
      </c>
      <c r="M134" s="49" t="b">
        <v>1</v>
      </c>
      <c r="N134" s="49" t="b">
        <v>0</v>
      </c>
      <c r="O134" s="49" t="b">
        <v>0</v>
      </c>
      <c r="P134" s="14" t="s">
        <v>87</v>
      </c>
      <c r="Q134" s="49" t="b">
        <v>1</v>
      </c>
      <c r="R134" s="49" t="b">
        <v>1</v>
      </c>
      <c r="S134" s="15" t="b">
        <v>0</v>
      </c>
      <c r="T134" s="15" t="b">
        <v>0</v>
      </c>
    </row>
    <row r="135" ht="17.25" customHeight="1">
      <c r="A135" s="47" t="s">
        <v>300</v>
      </c>
      <c r="B135" s="48" t="s">
        <v>72</v>
      </c>
      <c r="C135" s="48" t="s">
        <v>72</v>
      </c>
      <c r="D135" s="47" t="s">
        <v>100</v>
      </c>
      <c r="E135" s="47" t="s">
        <v>75</v>
      </c>
      <c r="F135" s="47" t="s">
        <v>76</v>
      </c>
      <c r="G135" s="47" t="s">
        <v>11</v>
      </c>
      <c r="H135" s="49" t="b">
        <v>1</v>
      </c>
      <c r="I135" s="49" t="b">
        <v>0</v>
      </c>
      <c r="J135" s="49"/>
      <c r="K135" s="49" t="b">
        <v>1</v>
      </c>
      <c r="L135" s="49" t="b">
        <v>1</v>
      </c>
      <c r="M135" s="49" t="b">
        <v>1</v>
      </c>
      <c r="N135" s="49" t="b">
        <v>1</v>
      </c>
      <c r="O135" s="49" t="b">
        <v>0</v>
      </c>
      <c r="P135" s="14" t="s">
        <v>78</v>
      </c>
      <c r="Q135" s="49" t="b">
        <v>1</v>
      </c>
      <c r="R135" s="49" t="b">
        <v>1</v>
      </c>
      <c r="S135" s="15" t="b">
        <v>0</v>
      </c>
      <c r="T135" s="14" t="b">
        <v>1</v>
      </c>
      <c r="W135" s="14" t="s">
        <v>301</v>
      </c>
    </row>
    <row r="136" ht="17.25" customHeight="1">
      <c r="A136" s="50" t="s">
        <v>302</v>
      </c>
      <c r="B136" s="48" t="s">
        <v>72</v>
      </c>
      <c r="C136" s="47" t="s">
        <v>72</v>
      </c>
      <c r="D136" s="47" t="s">
        <v>142</v>
      </c>
      <c r="E136" s="47" t="s">
        <v>75</v>
      </c>
      <c r="F136" s="47" t="s">
        <v>86</v>
      </c>
      <c r="G136" s="47" t="s">
        <v>21</v>
      </c>
      <c r="H136" s="49" t="b">
        <v>0</v>
      </c>
      <c r="I136" s="49" t="b">
        <v>0</v>
      </c>
      <c r="J136" s="49"/>
      <c r="K136" s="49" t="b">
        <v>0</v>
      </c>
      <c r="L136" s="49" t="b">
        <v>0</v>
      </c>
      <c r="M136" s="49" t="b">
        <v>0</v>
      </c>
      <c r="N136" s="49" t="b">
        <v>0</v>
      </c>
      <c r="O136" s="49" t="b">
        <v>0</v>
      </c>
      <c r="P136" s="57"/>
      <c r="Q136" s="49" t="b">
        <v>1</v>
      </c>
      <c r="R136" s="49" t="b">
        <v>0</v>
      </c>
      <c r="S136" s="15" t="b">
        <v>0</v>
      </c>
      <c r="T136" s="15" t="b">
        <v>0</v>
      </c>
      <c r="W136" s="14" t="s">
        <v>303</v>
      </c>
      <c r="X136" s="47"/>
      <c r="Y136" s="47"/>
      <c r="Z136" s="47"/>
      <c r="AA136" s="47"/>
      <c r="AB136" s="47"/>
      <c r="AC136" s="47"/>
      <c r="AD136" s="47"/>
      <c r="AE136" s="47"/>
      <c r="AF136" s="47"/>
      <c r="AG136" s="47"/>
      <c r="AH136" s="47"/>
      <c r="AI136" s="47"/>
      <c r="AJ136" s="47"/>
      <c r="AK136" s="47"/>
    </row>
    <row r="137" ht="17.25" customHeight="1">
      <c r="A137" s="47" t="s">
        <v>304</v>
      </c>
      <c r="B137" s="48" t="s">
        <v>80</v>
      </c>
      <c r="C137" s="47" t="s">
        <v>84</v>
      </c>
      <c r="D137" s="47" t="s">
        <v>85</v>
      </c>
      <c r="E137" s="47" t="s">
        <v>75</v>
      </c>
      <c r="F137" s="47" t="s">
        <v>86</v>
      </c>
      <c r="G137" s="47" t="s">
        <v>15</v>
      </c>
      <c r="H137" s="49" t="b">
        <v>0</v>
      </c>
      <c r="I137" s="49" t="b">
        <v>0</v>
      </c>
      <c r="J137" s="49" t="s">
        <v>242</v>
      </c>
      <c r="K137" s="49" t="b">
        <v>0</v>
      </c>
      <c r="L137" s="49" t="b">
        <v>0</v>
      </c>
      <c r="M137" s="49" t="b">
        <v>0</v>
      </c>
      <c r="N137" s="49" t="b">
        <v>0</v>
      </c>
      <c r="O137" s="49" t="b">
        <v>0</v>
      </c>
      <c r="P137" s="14" t="s">
        <v>23</v>
      </c>
      <c r="Q137" s="49" t="b">
        <v>0</v>
      </c>
      <c r="R137" s="49" t="b">
        <v>0</v>
      </c>
      <c r="S137" s="15" t="b">
        <v>0</v>
      </c>
      <c r="T137" s="15" t="b">
        <v>0</v>
      </c>
      <c r="U137" s="47" t="s">
        <v>215</v>
      </c>
      <c r="V137" s="47"/>
      <c r="W137" s="47" t="s">
        <v>88</v>
      </c>
    </row>
    <row r="138" ht="17.25" customHeight="1">
      <c r="A138" s="62" t="s">
        <v>305</v>
      </c>
      <c r="B138" s="48" t="s">
        <v>80</v>
      </c>
      <c r="C138" s="47" t="s">
        <v>84</v>
      </c>
      <c r="D138" s="47" t="s">
        <v>122</v>
      </c>
      <c r="E138" s="47" t="s">
        <v>75</v>
      </c>
      <c r="F138" s="47" t="s">
        <v>86</v>
      </c>
      <c r="G138" s="47" t="s">
        <v>16</v>
      </c>
      <c r="H138" s="49" t="b">
        <v>0</v>
      </c>
      <c r="I138" s="49" t="b">
        <v>1</v>
      </c>
      <c r="J138" s="49" t="b">
        <v>0</v>
      </c>
      <c r="K138" s="49" t="b">
        <v>0</v>
      </c>
      <c r="L138" s="49" t="b">
        <v>0</v>
      </c>
      <c r="M138" s="49" t="b">
        <v>0</v>
      </c>
      <c r="N138" s="49" t="b">
        <v>0</v>
      </c>
      <c r="O138" s="49" t="b">
        <v>0</v>
      </c>
      <c r="P138" s="14" t="s">
        <v>87</v>
      </c>
      <c r="Q138" s="49" t="b">
        <v>1</v>
      </c>
      <c r="R138" s="49" t="b">
        <v>1</v>
      </c>
      <c r="S138" s="15" t="b">
        <v>0</v>
      </c>
      <c r="T138" s="14" t="b">
        <v>0</v>
      </c>
    </row>
    <row r="139" ht="17.25" customHeight="1">
      <c r="A139" s="51" t="s">
        <v>306</v>
      </c>
      <c r="B139" s="51" t="s">
        <v>307</v>
      </c>
      <c r="C139" s="51" t="s">
        <v>73</v>
      </c>
      <c r="D139" s="48" t="s">
        <v>122</v>
      </c>
      <c r="E139" s="47" t="s">
        <v>82</v>
      </c>
      <c r="F139" s="51" t="s">
        <v>86</v>
      </c>
      <c r="G139" s="48" t="s">
        <v>131</v>
      </c>
      <c r="H139" s="52" t="b">
        <v>0</v>
      </c>
      <c r="I139" s="52" t="b">
        <v>0</v>
      </c>
      <c r="J139" s="52"/>
      <c r="K139" s="52" t="b">
        <v>0</v>
      </c>
      <c r="L139" s="52" t="b">
        <v>0</v>
      </c>
      <c r="M139" s="52" t="b">
        <v>0</v>
      </c>
      <c r="N139" s="52" t="b">
        <v>0</v>
      </c>
      <c r="O139" s="52" t="b">
        <v>0</v>
      </c>
      <c r="P139" s="48" t="s">
        <v>87</v>
      </c>
      <c r="Q139" s="52" t="b">
        <v>0</v>
      </c>
      <c r="R139" s="52" t="b">
        <v>0</v>
      </c>
      <c r="S139" s="52" t="b">
        <v>0</v>
      </c>
      <c r="T139" s="52" t="b">
        <v>0</v>
      </c>
      <c r="U139" s="47"/>
      <c r="V139" s="47"/>
      <c r="W139" s="47"/>
    </row>
    <row r="140" ht="17.25" customHeight="1">
      <c r="A140" s="53" t="s">
        <v>308</v>
      </c>
      <c r="B140" s="48" t="s">
        <v>72</v>
      </c>
      <c r="C140" s="47" t="s">
        <v>72</v>
      </c>
      <c r="D140" s="47" t="s">
        <v>85</v>
      </c>
      <c r="E140" s="47" t="s">
        <v>101</v>
      </c>
      <c r="F140" s="47" t="s">
        <v>86</v>
      </c>
      <c r="G140" s="47" t="s">
        <v>11</v>
      </c>
      <c r="H140" s="49" t="b">
        <v>0</v>
      </c>
      <c r="I140" s="49" t="b">
        <v>0</v>
      </c>
      <c r="J140" s="49" t="b">
        <v>0</v>
      </c>
      <c r="K140" s="49" t="b">
        <v>0</v>
      </c>
      <c r="L140" s="49" t="b">
        <v>0</v>
      </c>
      <c r="M140" s="49" t="b">
        <v>0</v>
      </c>
      <c r="N140" s="49" t="b">
        <v>0</v>
      </c>
      <c r="O140" s="49" t="b">
        <v>0</v>
      </c>
      <c r="P140" s="14" t="s">
        <v>87</v>
      </c>
      <c r="Q140" s="49" t="b">
        <v>0</v>
      </c>
      <c r="R140" s="49" t="b">
        <v>0</v>
      </c>
      <c r="S140" s="15" t="b">
        <v>0</v>
      </c>
      <c r="T140" s="15" t="b">
        <v>0</v>
      </c>
    </row>
    <row r="141" ht="17.25" customHeight="1">
      <c r="A141" s="47" t="s">
        <v>309</v>
      </c>
      <c r="B141" s="48" t="s">
        <v>103</v>
      </c>
      <c r="C141" s="47" t="s">
        <v>103</v>
      </c>
      <c r="D141" s="47" t="s">
        <v>100</v>
      </c>
      <c r="E141" s="47" t="s">
        <v>101</v>
      </c>
      <c r="F141" s="47" t="s">
        <v>76</v>
      </c>
      <c r="G141" s="47" t="s">
        <v>10</v>
      </c>
      <c r="H141" s="49" t="b">
        <v>0</v>
      </c>
      <c r="I141" s="49" t="b">
        <v>0</v>
      </c>
      <c r="J141" s="49" t="b">
        <v>0</v>
      </c>
      <c r="K141" s="49" t="b">
        <v>0</v>
      </c>
      <c r="L141" s="49" t="b">
        <v>0</v>
      </c>
      <c r="M141" s="49" t="b">
        <v>0</v>
      </c>
      <c r="N141" s="49" t="b">
        <v>0</v>
      </c>
      <c r="O141" s="49" t="b">
        <v>0</v>
      </c>
      <c r="P141" s="14" t="s">
        <v>87</v>
      </c>
      <c r="Q141" s="49" t="b">
        <v>0</v>
      </c>
      <c r="R141" s="49" t="b">
        <v>0</v>
      </c>
      <c r="S141" s="15" t="b">
        <v>0</v>
      </c>
      <c r="T141" s="15" t="b">
        <v>0</v>
      </c>
      <c r="X141" s="47"/>
      <c r="Y141" s="47"/>
      <c r="Z141" s="47"/>
      <c r="AA141" s="47"/>
      <c r="AB141" s="47"/>
      <c r="AC141" s="47"/>
      <c r="AD141" s="47"/>
      <c r="AE141" s="47"/>
      <c r="AF141" s="47"/>
      <c r="AG141" s="47"/>
      <c r="AH141" s="47"/>
      <c r="AI141" s="47"/>
      <c r="AJ141" s="47"/>
      <c r="AK141" s="47"/>
    </row>
    <row r="142" ht="17.25" customHeight="1">
      <c r="A142" s="47" t="s">
        <v>310</v>
      </c>
      <c r="B142" s="48" t="s">
        <v>288</v>
      </c>
      <c r="C142" s="47" t="s">
        <v>84</v>
      </c>
      <c r="D142" s="47" t="s">
        <v>85</v>
      </c>
      <c r="E142" s="47" t="s">
        <v>101</v>
      </c>
      <c r="F142" s="47" t="s">
        <v>86</v>
      </c>
      <c r="G142" s="47" t="s">
        <v>15</v>
      </c>
      <c r="H142" s="49" t="b">
        <v>0</v>
      </c>
      <c r="I142" s="49" t="b">
        <v>0</v>
      </c>
      <c r="J142" s="49" t="s">
        <v>242</v>
      </c>
      <c r="K142" s="49" t="b">
        <v>0</v>
      </c>
      <c r="L142" s="49" t="b">
        <v>0</v>
      </c>
      <c r="M142" s="49" t="b">
        <v>0</v>
      </c>
      <c r="N142" s="49" t="b">
        <v>0</v>
      </c>
      <c r="O142" s="49" t="b">
        <v>0</v>
      </c>
      <c r="P142" s="14" t="s">
        <v>87</v>
      </c>
      <c r="Q142" s="49" t="b">
        <v>0</v>
      </c>
      <c r="R142" s="49" t="b">
        <v>0</v>
      </c>
      <c r="S142" s="15" t="b">
        <v>0</v>
      </c>
      <c r="T142" s="15" t="b">
        <v>0</v>
      </c>
      <c r="U142" s="47" t="s">
        <v>215</v>
      </c>
      <c r="V142" s="47"/>
      <c r="W142" s="47" t="s">
        <v>311</v>
      </c>
    </row>
    <row r="143" ht="17.25" customHeight="1">
      <c r="A143" s="47" t="s">
        <v>312</v>
      </c>
      <c r="B143" s="48" t="s">
        <v>99</v>
      </c>
      <c r="C143" s="47" t="s">
        <v>95</v>
      </c>
      <c r="D143" s="47" t="s">
        <v>90</v>
      </c>
      <c r="E143" s="47" t="s">
        <v>101</v>
      </c>
      <c r="F143" s="47" t="s">
        <v>86</v>
      </c>
      <c r="G143" s="47" t="s">
        <v>11</v>
      </c>
      <c r="H143" s="49" t="b">
        <v>0</v>
      </c>
      <c r="I143" s="49" t="b">
        <v>0</v>
      </c>
      <c r="J143" s="49" t="b">
        <v>0</v>
      </c>
      <c r="K143" s="49" t="b">
        <v>0</v>
      </c>
      <c r="L143" s="49" t="b">
        <v>0</v>
      </c>
      <c r="M143" s="49" t="b">
        <v>0</v>
      </c>
      <c r="N143" s="49" t="b">
        <v>0</v>
      </c>
      <c r="O143" s="49" t="b">
        <v>1</v>
      </c>
      <c r="P143" s="14" t="s">
        <v>87</v>
      </c>
      <c r="Q143" s="49" t="b">
        <v>1</v>
      </c>
      <c r="R143" s="49" t="b">
        <v>1</v>
      </c>
      <c r="S143" s="15" t="b">
        <v>0</v>
      </c>
      <c r="T143" s="15" t="b">
        <v>0</v>
      </c>
      <c r="X143" s="60" t="s">
        <v>313</v>
      </c>
      <c r="Y143" s="47"/>
      <c r="Z143" s="47"/>
      <c r="AA143" s="47"/>
      <c r="AB143" s="47"/>
      <c r="AC143" s="47"/>
      <c r="AD143" s="47"/>
      <c r="AE143" s="47"/>
      <c r="AF143" s="47"/>
      <c r="AG143" s="47"/>
      <c r="AH143" s="47"/>
      <c r="AI143" s="47"/>
      <c r="AJ143" s="47"/>
      <c r="AK143" s="47"/>
    </row>
    <row r="144" ht="17.25" customHeight="1">
      <c r="A144" s="47" t="s">
        <v>314</v>
      </c>
      <c r="B144" s="48" t="s">
        <v>109</v>
      </c>
      <c r="C144" s="47" t="s">
        <v>110</v>
      </c>
      <c r="D144" s="47" t="s">
        <v>90</v>
      </c>
      <c r="E144" s="47" t="s">
        <v>75</v>
      </c>
      <c r="F144" s="47" t="s">
        <v>86</v>
      </c>
      <c r="G144" s="47" t="s">
        <v>16</v>
      </c>
      <c r="H144" s="49" t="b">
        <v>0</v>
      </c>
      <c r="I144" s="49" t="b">
        <v>0</v>
      </c>
      <c r="J144" s="47"/>
      <c r="K144" s="49" t="b">
        <v>0</v>
      </c>
      <c r="L144" s="49" t="b">
        <v>0</v>
      </c>
      <c r="M144" s="49" t="b">
        <v>0</v>
      </c>
      <c r="N144" s="49" t="b">
        <v>0</v>
      </c>
      <c r="O144" s="49" t="b">
        <v>0</v>
      </c>
      <c r="P144" s="14" t="s">
        <v>23</v>
      </c>
      <c r="Q144" s="49" t="b">
        <v>0</v>
      </c>
      <c r="R144" s="49" t="b">
        <v>0</v>
      </c>
      <c r="S144" s="15" t="b">
        <v>0</v>
      </c>
      <c r="T144" s="15" t="b">
        <v>0</v>
      </c>
      <c r="U144" s="47"/>
      <c r="V144" s="47"/>
      <c r="W144" s="47"/>
    </row>
    <row r="145" ht="17.25" customHeight="1">
      <c r="A145" s="47" t="s">
        <v>315</v>
      </c>
      <c r="B145" s="48" t="s">
        <v>80</v>
      </c>
      <c r="C145" s="47" t="s">
        <v>73</v>
      </c>
      <c r="D145" s="47" t="s">
        <v>90</v>
      </c>
      <c r="E145" s="47" t="s">
        <v>82</v>
      </c>
      <c r="F145" s="47" t="s">
        <v>86</v>
      </c>
      <c r="G145" s="47" t="s">
        <v>21</v>
      </c>
      <c r="H145" s="49" t="b">
        <v>0</v>
      </c>
      <c r="I145" s="49" t="b">
        <v>0</v>
      </c>
      <c r="J145" s="49"/>
      <c r="K145" s="49" t="b">
        <v>0</v>
      </c>
      <c r="L145" s="49" t="b">
        <v>0</v>
      </c>
      <c r="M145" s="49" t="b">
        <v>0</v>
      </c>
      <c r="N145" s="49" t="b">
        <v>0</v>
      </c>
      <c r="O145" s="49" t="b">
        <v>0</v>
      </c>
      <c r="P145" s="14" t="s">
        <v>23</v>
      </c>
      <c r="Q145" s="49" t="b">
        <v>0</v>
      </c>
      <c r="R145" s="49" t="b">
        <v>0</v>
      </c>
      <c r="S145" s="15" t="b">
        <v>0</v>
      </c>
      <c r="T145" s="15" t="b">
        <v>0</v>
      </c>
      <c r="U145" s="47"/>
      <c r="V145" s="47"/>
      <c r="W145" s="47"/>
      <c r="X145" s="47"/>
      <c r="Y145" s="47"/>
      <c r="Z145" s="47"/>
      <c r="AA145" s="47"/>
      <c r="AB145" s="47"/>
      <c r="AC145" s="47"/>
      <c r="AD145" s="47"/>
      <c r="AE145" s="47"/>
      <c r="AF145" s="47"/>
      <c r="AG145" s="47"/>
      <c r="AH145" s="47"/>
      <c r="AI145" s="47"/>
      <c r="AJ145" s="47"/>
      <c r="AK145" s="47"/>
    </row>
    <row r="146" ht="17.25" customHeight="1">
      <c r="A146" s="47" t="s">
        <v>316</v>
      </c>
      <c r="B146" s="48" t="s">
        <v>317</v>
      </c>
      <c r="C146" s="47" t="s">
        <v>110</v>
      </c>
      <c r="D146" s="47" t="s">
        <v>74</v>
      </c>
      <c r="E146" s="47" t="s">
        <v>75</v>
      </c>
      <c r="F146" s="47" t="s">
        <v>76</v>
      </c>
      <c r="G146" s="47" t="s">
        <v>8</v>
      </c>
      <c r="H146" s="49" t="b">
        <v>1</v>
      </c>
      <c r="I146" s="49" t="b">
        <v>0</v>
      </c>
      <c r="J146" s="49" t="b">
        <v>0</v>
      </c>
      <c r="K146" s="49" t="b">
        <v>1</v>
      </c>
      <c r="L146" s="49" t="b">
        <v>0</v>
      </c>
      <c r="M146" s="49" t="b">
        <v>1</v>
      </c>
      <c r="N146" s="49" t="b">
        <v>0</v>
      </c>
      <c r="O146" s="49" t="b">
        <v>0</v>
      </c>
      <c r="P146" s="14" t="s">
        <v>87</v>
      </c>
      <c r="Q146" s="49" t="b">
        <v>1</v>
      </c>
      <c r="R146" s="49" t="b">
        <v>0</v>
      </c>
      <c r="S146" s="15" t="b">
        <v>0</v>
      </c>
      <c r="T146" s="15" t="b">
        <v>0</v>
      </c>
      <c r="V146" s="14" t="s">
        <v>106</v>
      </c>
    </row>
    <row r="147" ht="17.25" customHeight="1">
      <c r="A147" s="47" t="s">
        <v>318</v>
      </c>
      <c r="B147" s="48" t="s">
        <v>103</v>
      </c>
      <c r="C147" s="48" t="s">
        <v>103</v>
      </c>
      <c r="D147" s="47" t="s">
        <v>74</v>
      </c>
      <c r="E147" s="47" t="s">
        <v>96</v>
      </c>
      <c r="F147" s="47" t="s">
        <v>86</v>
      </c>
      <c r="G147" s="47" t="s">
        <v>11</v>
      </c>
      <c r="H147" s="49" t="b">
        <v>1</v>
      </c>
      <c r="I147" s="49" t="b">
        <v>0</v>
      </c>
      <c r="J147" s="49" t="b">
        <v>0</v>
      </c>
      <c r="K147" s="49" t="b">
        <v>0</v>
      </c>
      <c r="L147" s="49" t="b">
        <v>0</v>
      </c>
      <c r="M147" s="49" t="b">
        <v>0</v>
      </c>
      <c r="N147" s="49" t="b">
        <v>0</v>
      </c>
      <c r="O147" s="49" t="b">
        <v>0</v>
      </c>
      <c r="P147" s="14" t="s">
        <v>138</v>
      </c>
      <c r="Q147" s="49" t="b">
        <v>1</v>
      </c>
      <c r="R147" s="49" t="b">
        <v>0</v>
      </c>
      <c r="S147" s="15" t="b">
        <v>0</v>
      </c>
      <c r="T147" s="15" t="b">
        <v>0</v>
      </c>
      <c r="V147" s="14" t="s">
        <v>106</v>
      </c>
      <c r="X147" s="61"/>
      <c r="Y147" s="61"/>
      <c r="Z147" s="61"/>
      <c r="AA147" s="61"/>
      <c r="AB147" s="61"/>
      <c r="AC147" s="61"/>
      <c r="AD147" s="61"/>
      <c r="AE147" s="61"/>
      <c r="AF147" s="61"/>
      <c r="AG147" s="61"/>
      <c r="AH147" s="61"/>
      <c r="AI147" s="61"/>
      <c r="AJ147" s="61"/>
      <c r="AK147" s="61"/>
    </row>
    <row r="148" ht="17.25" customHeight="1">
      <c r="A148" s="47" t="s">
        <v>319</v>
      </c>
      <c r="B148" s="48" t="s">
        <v>80</v>
      </c>
      <c r="C148" s="47" t="s">
        <v>84</v>
      </c>
      <c r="D148" s="47" t="s">
        <v>74</v>
      </c>
      <c r="E148" s="47" t="s">
        <v>82</v>
      </c>
      <c r="F148" s="47" t="s">
        <v>76</v>
      </c>
      <c r="G148" s="47" t="s">
        <v>16</v>
      </c>
      <c r="H148" s="49" t="b">
        <v>1</v>
      </c>
      <c r="I148" s="49" t="b">
        <v>0</v>
      </c>
      <c r="J148" s="49" t="b">
        <v>0</v>
      </c>
      <c r="K148" s="49" t="b">
        <v>0</v>
      </c>
      <c r="L148" s="49" t="b">
        <v>0</v>
      </c>
      <c r="M148" s="49" t="b">
        <v>0</v>
      </c>
      <c r="N148" s="49" t="b">
        <v>0</v>
      </c>
      <c r="O148" s="49" t="b">
        <v>0</v>
      </c>
      <c r="P148" s="14" t="s">
        <v>87</v>
      </c>
      <c r="Q148" s="49" t="b">
        <v>1</v>
      </c>
      <c r="R148" s="49" t="b">
        <v>1</v>
      </c>
      <c r="S148" s="15" t="b">
        <v>0</v>
      </c>
      <c r="T148" s="15" t="b">
        <v>0</v>
      </c>
      <c r="V148" s="14" t="s">
        <v>106</v>
      </c>
    </row>
    <row r="149" ht="17.25" customHeight="1">
      <c r="A149" s="58" t="s">
        <v>320</v>
      </c>
      <c r="B149" s="48" t="s">
        <v>80</v>
      </c>
      <c r="C149" s="47" t="s">
        <v>95</v>
      </c>
      <c r="D149" s="47" t="s">
        <v>74</v>
      </c>
      <c r="E149" s="47" t="s">
        <v>75</v>
      </c>
      <c r="F149" s="47" t="s">
        <v>76</v>
      </c>
      <c r="G149" s="47" t="s">
        <v>8</v>
      </c>
      <c r="H149" s="49" t="b">
        <v>0</v>
      </c>
      <c r="I149" s="49" t="b">
        <v>1</v>
      </c>
      <c r="J149" s="49"/>
      <c r="K149" s="49" t="b">
        <v>0</v>
      </c>
      <c r="L149" s="49" t="b">
        <v>0</v>
      </c>
      <c r="M149" s="49" t="b">
        <v>1</v>
      </c>
      <c r="N149" s="49" t="b">
        <v>0</v>
      </c>
      <c r="O149" s="49" t="b">
        <v>0</v>
      </c>
      <c r="P149" s="14" t="s">
        <v>23</v>
      </c>
      <c r="Q149" s="49" t="b">
        <v>0</v>
      </c>
      <c r="R149" s="49" t="b">
        <v>1</v>
      </c>
      <c r="S149" s="15" t="b">
        <v>0</v>
      </c>
      <c r="T149" s="15" t="b">
        <v>0</v>
      </c>
      <c r="U149" s="47"/>
      <c r="V149" s="14" t="s">
        <v>106</v>
      </c>
    </row>
    <row r="150" ht="17.25" customHeight="1">
      <c r="A150" s="47" t="s">
        <v>321</v>
      </c>
      <c r="B150" s="48" t="s">
        <v>99</v>
      </c>
      <c r="C150" s="47" t="s">
        <v>95</v>
      </c>
      <c r="D150" s="47" t="s">
        <v>74</v>
      </c>
      <c r="E150" s="47" t="s">
        <v>82</v>
      </c>
      <c r="F150" s="47" t="s">
        <v>76</v>
      </c>
      <c r="G150" s="47" t="s">
        <v>11</v>
      </c>
      <c r="H150" s="49" t="b">
        <v>0</v>
      </c>
      <c r="I150" s="49" t="b">
        <v>0</v>
      </c>
      <c r="J150" s="49" t="b">
        <v>0</v>
      </c>
      <c r="K150" s="49" t="b">
        <v>1</v>
      </c>
      <c r="L150" s="49" t="b">
        <v>0</v>
      </c>
      <c r="M150" s="49" t="b">
        <v>1</v>
      </c>
      <c r="N150" s="49" t="b">
        <v>0</v>
      </c>
      <c r="O150" s="49" t="b">
        <v>0</v>
      </c>
      <c r="P150" s="14" t="s">
        <v>87</v>
      </c>
      <c r="Q150" s="49" t="b">
        <v>1</v>
      </c>
      <c r="R150" s="49" t="b">
        <v>1</v>
      </c>
      <c r="S150" s="15" t="b">
        <v>0</v>
      </c>
      <c r="T150" s="15" t="b">
        <v>0</v>
      </c>
      <c r="V150" s="14" t="s">
        <v>106</v>
      </c>
    </row>
    <row r="151" ht="17.25" customHeight="1">
      <c r="A151" s="50" t="s">
        <v>322</v>
      </c>
      <c r="B151" s="48" t="s">
        <v>72</v>
      </c>
      <c r="C151" s="48" t="s">
        <v>72</v>
      </c>
      <c r="D151" s="47" t="s">
        <v>142</v>
      </c>
      <c r="E151" s="47" t="s">
        <v>96</v>
      </c>
      <c r="F151" s="47" t="s">
        <v>86</v>
      </c>
      <c r="G151" s="47" t="s">
        <v>16</v>
      </c>
      <c r="H151" s="49" t="b">
        <v>0</v>
      </c>
      <c r="I151" s="49" t="b">
        <v>0</v>
      </c>
      <c r="J151" s="49" t="b">
        <v>0</v>
      </c>
      <c r="K151" s="49" t="b">
        <v>0</v>
      </c>
      <c r="L151" s="49" t="b">
        <v>0</v>
      </c>
      <c r="M151" s="49" t="b">
        <v>0</v>
      </c>
      <c r="N151" s="49" t="b">
        <v>0</v>
      </c>
      <c r="O151" s="49" t="b">
        <v>0</v>
      </c>
      <c r="P151" s="14" t="s">
        <v>87</v>
      </c>
      <c r="Q151" s="49" t="b">
        <v>0</v>
      </c>
      <c r="R151" s="49" t="b">
        <v>0</v>
      </c>
      <c r="S151" s="47"/>
      <c r="T151" s="47"/>
      <c r="U151" s="47"/>
      <c r="V151" s="47"/>
      <c r="W151" s="47" t="s">
        <v>323</v>
      </c>
    </row>
    <row r="152" ht="17.25" customHeight="1">
      <c r="A152" s="58" t="s">
        <v>324</v>
      </c>
      <c r="B152" s="48" t="s">
        <v>145</v>
      </c>
      <c r="C152" s="47" t="s">
        <v>95</v>
      </c>
      <c r="D152" s="47" t="s">
        <v>74</v>
      </c>
      <c r="E152" s="47" t="s">
        <v>82</v>
      </c>
      <c r="F152" s="47" t="s">
        <v>76</v>
      </c>
      <c r="G152" s="47" t="s">
        <v>11</v>
      </c>
      <c r="H152" s="49" t="b">
        <v>0</v>
      </c>
      <c r="I152" s="49" t="b">
        <v>1</v>
      </c>
      <c r="J152" s="49"/>
      <c r="K152" s="49" t="b">
        <v>0</v>
      </c>
      <c r="L152" s="49" t="b">
        <v>0</v>
      </c>
      <c r="M152" s="49" t="b">
        <v>1</v>
      </c>
      <c r="N152" s="49" t="b">
        <v>0</v>
      </c>
      <c r="O152" s="49" t="b">
        <v>0</v>
      </c>
      <c r="P152" s="14" t="s">
        <v>23</v>
      </c>
      <c r="Q152" s="49" t="b">
        <v>0</v>
      </c>
      <c r="R152" s="49" t="b">
        <v>1</v>
      </c>
      <c r="S152" s="15" t="b">
        <v>0</v>
      </c>
      <c r="T152" s="15" t="b">
        <v>0</v>
      </c>
      <c r="U152" s="47"/>
    </row>
    <row r="153" ht="17.25" customHeight="1">
      <c r="A153" s="48" t="s">
        <v>325</v>
      </c>
      <c r="B153" s="48" t="s">
        <v>109</v>
      </c>
      <c r="C153" s="47" t="s">
        <v>110</v>
      </c>
      <c r="D153" s="47" t="s">
        <v>74</v>
      </c>
      <c r="E153" s="47" t="s">
        <v>75</v>
      </c>
      <c r="F153" s="47" t="s">
        <v>76</v>
      </c>
      <c r="G153" s="47" t="s">
        <v>8</v>
      </c>
      <c r="H153" s="49" t="b">
        <v>1</v>
      </c>
      <c r="I153" s="49" t="b">
        <v>0</v>
      </c>
      <c r="J153" s="49"/>
      <c r="K153" s="49" t="b">
        <v>1</v>
      </c>
      <c r="L153" s="49" t="b">
        <v>0</v>
      </c>
      <c r="M153" s="49" t="b">
        <v>0</v>
      </c>
      <c r="N153" s="49" t="b">
        <v>0</v>
      </c>
      <c r="O153" s="49" t="b">
        <v>0</v>
      </c>
      <c r="P153" s="14" t="s">
        <v>113</v>
      </c>
      <c r="Q153" s="49" t="b">
        <v>1</v>
      </c>
      <c r="R153" s="49" t="b">
        <v>1</v>
      </c>
      <c r="V153" s="14" t="s">
        <v>106</v>
      </c>
    </row>
    <row r="154" ht="17.25" customHeight="1">
      <c r="A154" s="47" t="s">
        <v>326</v>
      </c>
      <c r="B154" s="48" t="s">
        <v>103</v>
      </c>
      <c r="C154" s="48" t="s">
        <v>103</v>
      </c>
      <c r="D154" s="47" t="s">
        <v>100</v>
      </c>
      <c r="E154" s="47" t="s">
        <v>101</v>
      </c>
      <c r="F154" s="47" t="s">
        <v>76</v>
      </c>
      <c r="G154" s="47" t="s">
        <v>10</v>
      </c>
      <c r="H154" s="49" t="b">
        <v>0</v>
      </c>
      <c r="I154" s="49" t="b">
        <v>0</v>
      </c>
      <c r="J154" s="49" t="b">
        <v>0</v>
      </c>
      <c r="K154" s="49" t="b">
        <v>1</v>
      </c>
      <c r="L154" s="49" t="b">
        <v>1</v>
      </c>
      <c r="M154" s="49" t="b">
        <v>0</v>
      </c>
      <c r="N154" s="49" t="b">
        <v>0</v>
      </c>
      <c r="O154" s="49" t="b">
        <v>0</v>
      </c>
      <c r="P154" s="14" t="s">
        <v>87</v>
      </c>
      <c r="Q154" s="49" t="b">
        <v>1</v>
      </c>
      <c r="R154" s="49" t="b">
        <v>1</v>
      </c>
      <c r="S154" s="15" t="b">
        <v>0</v>
      </c>
      <c r="T154" s="15" t="b">
        <v>0</v>
      </c>
      <c r="V154" s="14" t="s">
        <v>106</v>
      </c>
      <c r="X154" s="47"/>
      <c r="Y154" s="47"/>
      <c r="Z154" s="47"/>
      <c r="AA154" s="47"/>
      <c r="AB154" s="47"/>
      <c r="AC154" s="47"/>
      <c r="AD154" s="47"/>
      <c r="AE154" s="47"/>
      <c r="AF154" s="47"/>
      <c r="AG154" s="47"/>
      <c r="AH154" s="47"/>
      <c r="AI154" s="47"/>
      <c r="AJ154" s="47"/>
      <c r="AK154" s="47"/>
    </row>
    <row r="155" ht="17.25" customHeight="1">
      <c r="A155" s="47" t="s">
        <v>327</v>
      </c>
      <c r="B155" s="48" t="s">
        <v>80</v>
      </c>
      <c r="C155" s="47" t="s">
        <v>95</v>
      </c>
      <c r="D155" s="47" t="s">
        <v>74</v>
      </c>
      <c r="E155" s="47" t="s">
        <v>75</v>
      </c>
      <c r="F155" s="47" t="s">
        <v>76</v>
      </c>
      <c r="G155" s="47" t="s">
        <v>8</v>
      </c>
      <c r="H155" s="49" t="b">
        <v>0</v>
      </c>
      <c r="I155" s="49" t="b">
        <v>0</v>
      </c>
      <c r="J155" s="49" t="b">
        <v>0</v>
      </c>
      <c r="K155" s="49" t="b">
        <v>1</v>
      </c>
      <c r="L155" s="49" t="b">
        <v>1</v>
      </c>
      <c r="M155" s="49" t="b">
        <v>1</v>
      </c>
      <c r="N155" s="49" t="b">
        <v>0</v>
      </c>
      <c r="O155" s="49" t="b">
        <v>0</v>
      </c>
      <c r="P155" s="14" t="s">
        <v>87</v>
      </c>
      <c r="Q155" s="49" t="b">
        <v>1</v>
      </c>
      <c r="R155" s="49" t="b">
        <v>1</v>
      </c>
      <c r="S155" s="15" t="b">
        <v>0</v>
      </c>
      <c r="T155" s="15" t="b">
        <v>0</v>
      </c>
    </row>
    <row r="156" ht="17.25" customHeight="1">
      <c r="A156" s="47" t="s">
        <v>328</v>
      </c>
      <c r="B156" s="48" t="s">
        <v>103</v>
      </c>
      <c r="C156" s="48" t="s">
        <v>103</v>
      </c>
      <c r="D156" s="47" t="s">
        <v>74</v>
      </c>
      <c r="E156" s="47" t="s">
        <v>82</v>
      </c>
      <c r="F156" s="47" t="s">
        <v>76</v>
      </c>
      <c r="G156" s="47" t="s">
        <v>10</v>
      </c>
      <c r="H156" s="49" t="b">
        <v>0</v>
      </c>
      <c r="I156" s="49" t="b">
        <v>0</v>
      </c>
      <c r="J156" s="49"/>
      <c r="K156" s="49" t="b">
        <v>0</v>
      </c>
      <c r="L156" s="49" t="b">
        <v>0</v>
      </c>
      <c r="M156" s="49" t="b">
        <v>1</v>
      </c>
      <c r="N156" s="49" t="b">
        <v>0</v>
      </c>
      <c r="O156" s="49" t="b">
        <v>1</v>
      </c>
      <c r="P156" s="14" t="s">
        <v>23</v>
      </c>
      <c r="Q156" s="49" t="b">
        <v>1</v>
      </c>
      <c r="R156" s="49" t="b">
        <v>1</v>
      </c>
      <c r="S156" s="15" t="b">
        <v>0</v>
      </c>
      <c r="T156" s="15" t="b">
        <v>0</v>
      </c>
      <c r="X156" s="47"/>
      <c r="Y156" s="47"/>
      <c r="Z156" s="47"/>
      <c r="AA156" s="47"/>
      <c r="AB156" s="47"/>
      <c r="AC156" s="47"/>
      <c r="AD156" s="47"/>
      <c r="AE156" s="47"/>
      <c r="AF156" s="47"/>
      <c r="AG156" s="47"/>
      <c r="AH156" s="47"/>
      <c r="AI156" s="47"/>
      <c r="AJ156" s="47"/>
      <c r="AK156" s="47"/>
    </row>
    <row r="157" ht="17.25" customHeight="1">
      <c r="A157" s="50" t="s">
        <v>329</v>
      </c>
      <c r="B157" s="48" t="s">
        <v>109</v>
      </c>
      <c r="C157" s="47" t="s">
        <v>110</v>
      </c>
      <c r="D157" s="47" t="s">
        <v>205</v>
      </c>
      <c r="E157" s="47" t="s">
        <v>75</v>
      </c>
      <c r="F157" s="47" t="s">
        <v>86</v>
      </c>
      <c r="G157" s="47" t="s">
        <v>8</v>
      </c>
      <c r="H157" s="49" t="b">
        <v>0</v>
      </c>
      <c r="I157" s="49" t="b">
        <v>0</v>
      </c>
      <c r="J157" s="49"/>
      <c r="K157" s="49" t="b">
        <v>0</v>
      </c>
      <c r="L157" s="49" t="b">
        <v>0</v>
      </c>
      <c r="M157" s="49" t="b">
        <v>0</v>
      </c>
      <c r="N157" s="49" t="b">
        <v>0</v>
      </c>
      <c r="O157" s="49" t="b">
        <v>0</v>
      </c>
      <c r="P157" s="57"/>
      <c r="Q157" s="49" t="b">
        <v>1</v>
      </c>
      <c r="R157" s="49" t="b">
        <v>1</v>
      </c>
      <c r="S157" s="15" t="b">
        <v>0</v>
      </c>
      <c r="T157" s="15" t="b">
        <v>0</v>
      </c>
      <c r="V157" s="14" t="s">
        <v>106</v>
      </c>
    </row>
    <row r="158" ht="17.25" customHeight="1">
      <c r="A158" s="47" t="s">
        <v>330</v>
      </c>
      <c r="B158" s="48" t="s">
        <v>72</v>
      </c>
      <c r="C158" s="48" t="s">
        <v>72</v>
      </c>
      <c r="D158" s="47" t="s">
        <v>174</v>
      </c>
      <c r="E158" s="47" t="s">
        <v>82</v>
      </c>
      <c r="F158" s="47" t="s">
        <v>86</v>
      </c>
      <c r="G158" s="47" t="s">
        <v>16</v>
      </c>
      <c r="H158" s="49" t="b">
        <v>0</v>
      </c>
      <c r="I158" s="49" t="b">
        <v>1</v>
      </c>
      <c r="J158" s="49" t="b">
        <v>0</v>
      </c>
      <c r="K158" s="49" t="b">
        <v>0</v>
      </c>
      <c r="L158" s="49" t="b">
        <v>0</v>
      </c>
      <c r="M158" s="49" t="b">
        <v>0</v>
      </c>
      <c r="N158" s="49" t="b">
        <v>0</v>
      </c>
      <c r="O158" s="49" t="b">
        <v>0</v>
      </c>
      <c r="P158" s="14" t="s">
        <v>134</v>
      </c>
      <c r="Q158" s="49" t="b">
        <v>0</v>
      </c>
      <c r="R158" s="49" t="b">
        <v>0</v>
      </c>
      <c r="S158" s="15" t="b">
        <v>0</v>
      </c>
      <c r="T158" s="15" t="b">
        <v>0</v>
      </c>
      <c r="U158" s="47"/>
      <c r="V158" s="47"/>
      <c r="W158" s="47" t="s">
        <v>331</v>
      </c>
      <c r="X158" s="47"/>
      <c r="Y158" s="47"/>
      <c r="Z158" s="47"/>
      <c r="AA158" s="47"/>
      <c r="AB158" s="47"/>
      <c r="AC158" s="47"/>
      <c r="AD158" s="47"/>
      <c r="AE158" s="47"/>
      <c r="AF158" s="47"/>
      <c r="AG158" s="47"/>
      <c r="AH158" s="47"/>
      <c r="AI158" s="47"/>
      <c r="AJ158" s="47"/>
      <c r="AK158" s="47"/>
    </row>
    <row r="159" ht="17.25" customHeight="1">
      <c r="A159" s="47" t="s">
        <v>332</v>
      </c>
      <c r="B159" s="48" t="s">
        <v>80</v>
      </c>
      <c r="C159" s="47" t="s">
        <v>95</v>
      </c>
      <c r="D159" s="47" t="s">
        <v>85</v>
      </c>
      <c r="E159" s="47" t="s">
        <v>101</v>
      </c>
      <c r="F159" s="47" t="s">
        <v>86</v>
      </c>
      <c r="G159" s="47" t="s">
        <v>11</v>
      </c>
      <c r="H159" s="49" t="b">
        <v>0</v>
      </c>
      <c r="I159" s="49" t="b">
        <v>0</v>
      </c>
      <c r="J159" s="49" t="b">
        <v>0</v>
      </c>
      <c r="K159" s="49" t="b">
        <v>0</v>
      </c>
      <c r="L159" s="49" t="b">
        <v>0</v>
      </c>
      <c r="M159" s="49" t="b">
        <v>0</v>
      </c>
      <c r="N159" s="49" t="b">
        <v>0</v>
      </c>
      <c r="O159" s="49" t="b">
        <v>0</v>
      </c>
      <c r="P159" s="14" t="s">
        <v>134</v>
      </c>
      <c r="Q159" s="49" t="b">
        <v>1</v>
      </c>
      <c r="R159" s="49" t="b">
        <v>0</v>
      </c>
      <c r="S159" s="15" t="b">
        <v>0</v>
      </c>
      <c r="T159" s="15" t="b">
        <v>0</v>
      </c>
      <c r="V159" s="14" t="s">
        <v>106</v>
      </c>
      <c r="W159" s="14" t="s">
        <v>333</v>
      </c>
    </row>
    <row r="160" ht="17.25" customHeight="1">
      <c r="A160" s="51" t="s">
        <v>334</v>
      </c>
      <c r="B160" s="51" t="s">
        <v>335</v>
      </c>
      <c r="C160" s="51" t="s">
        <v>73</v>
      </c>
      <c r="D160" s="51" t="s">
        <v>122</v>
      </c>
      <c r="E160" s="47" t="s">
        <v>82</v>
      </c>
      <c r="F160" s="51" t="s">
        <v>86</v>
      </c>
      <c r="G160" s="48" t="s">
        <v>16</v>
      </c>
      <c r="H160" s="52" t="b">
        <v>0</v>
      </c>
      <c r="I160" s="49" t="b">
        <v>1</v>
      </c>
      <c r="J160" s="52"/>
      <c r="K160" s="52" t="b">
        <v>0</v>
      </c>
      <c r="L160" s="52" t="b">
        <v>0</v>
      </c>
      <c r="M160" s="52" t="b">
        <v>0</v>
      </c>
      <c r="N160" s="52" t="b">
        <v>0</v>
      </c>
      <c r="O160" s="52" t="b">
        <v>0</v>
      </c>
      <c r="P160" s="48" t="s">
        <v>87</v>
      </c>
      <c r="Q160" s="52" t="b">
        <v>0</v>
      </c>
      <c r="R160" s="49" t="b">
        <v>1</v>
      </c>
      <c r="S160" s="52" t="b">
        <v>0</v>
      </c>
      <c r="T160" s="52" t="b">
        <v>0</v>
      </c>
      <c r="U160" s="47"/>
      <c r="V160" s="47"/>
      <c r="W160" s="47"/>
    </row>
    <row r="161" ht="17.25" customHeight="1">
      <c r="A161" s="47" t="s">
        <v>336</v>
      </c>
      <c r="B161" s="48" t="s">
        <v>80</v>
      </c>
      <c r="C161" s="47" t="s">
        <v>95</v>
      </c>
      <c r="D161" s="47" t="s">
        <v>74</v>
      </c>
      <c r="E161" s="47" t="s">
        <v>75</v>
      </c>
      <c r="F161" s="47" t="s">
        <v>76</v>
      </c>
      <c r="G161" s="47" t="s">
        <v>8</v>
      </c>
      <c r="H161" s="49" t="b">
        <v>0</v>
      </c>
      <c r="I161" s="49" t="b">
        <v>0</v>
      </c>
      <c r="J161" s="49"/>
      <c r="K161" s="49" t="b">
        <v>1</v>
      </c>
      <c r="L161" s="49" t="b">
        <v>0</v>
      </c>
      <c r="M161" s="49" t="b">
        <v>1</v>
      </c>
      <c r="N161" s="49" t="b">
        <v>0</v>
      </c>
      <c r="O161" s="49" t="b">
        <v>0</v>
      </c>
      <c r="P161" s="14" t="s">
        <v>23</v>
      </c>
      <c r="Q161" s="49" t="b">
        <v>1</v>
      </c>
      <c r="R161" s="49" t="b">
        <v>1</v>
      </c>
      <c r="S161" s="15" t="b">
        <v>0</v>
      </c>
      <c r="T161" s="15" t="b">
        <v>0</v>
      </c>
      <c r="V161" s="14" t="s">
        <v>106</v>
      </c>
      <c r="X161" s="47"/>
      <c r="Y161" s="47"/>
      <c r="Z161" s="47"/>
      <c r="AA161" s="47"/>
      <c r="AB161" s="47"/>
      <c r="AC161" s="47"/>
      <c r="AD161" s="47"/>
      <c r="AE161" s="47"/>
      <c r="AF161" s="47"/>
      <c r="AG161" s="47"/>
      <c r="AH161" s="47"/>
      <c r="AI161" s="47"/>
      <c r="AJ161" s="47"/>
      <c r="AK161" s="47"/>
    </row>
    <row r="162" ht="17.25" customHeight="1">
      <c r="A162" s="67" t="s">
        <v>337</v>
      </c>
      <c r="B162" s="68" t="s">
        <v>80</v>
      </c>
      <c r="C162" s="67" t="s">
        <v>73</v>
      </c>
      <c r="D162" s="67" t="s">
        <v>74</v>
      </c>
      <c r="E162" s="67" t="s">
        <v>75</v>
      </c>
      <c r="F162" s="67" t="s">
        <v>86</v>
      </c>
      <c r="G162" s="67" t="s">
        <v>338</v>
      </c>
      <c r="H162" s="69" t="b">
        <v>1</v>
      </c>
      <c r="I162" s="69" t="b">
        <v>0</v>
      </c>
      <c r="J162" s="69"/>
      <c r="K162" s="69" t="b">
        <v>0</v>
      </c>
      <c r="L162" s="69" t="b">
        <v>0</v>
      </c>
      <c r="M162" s="69" t="b">
        <v>0</v>
      </c>
      <c r="N162" s="69" t="b">
        <v>0</v>
      </c>
      <c r="O162" s="69" t="b">
        <v>0</v>
      </c>
      <c r="P162" s="70" t="s">
        <v>113</v>
      </c>
      <c r="Q162" s="69" t="b">
        <v>0</v>
      </c>
      <c r="R162" s="69" t="b">
        <v>0</v>
      </c>
      <c r="S162" s="61" t="b">
        <v>0</v>
      </c>
      <c r="T162" s="61" t="b">
        <v>0</v>
      </c>
      <c r="U162" s="61"/>
      <c r="V162" s="70" t="s">
        <v>106</v>
      </c>
      <c r="W162" s="61"/>
    </row>
    <row r="163" ht="17.25" customHeight="1">
      <c r="A163" s="53" t="s">
        <v>339</v>
      </c>
      <c r="B163" s="48" t="s">
        <v>162</v>
      </c>
      <c r="C163" s="47" t="s">
        <v>95</v>
      </c>
      <c r="D163" s="47" t="s">
        <v>90</v>
      </c>
      <c r="E163" s="47" t="s">
        <v>75</v>
      </c>
      <c r="F163" s="47" t="s">
        <v>86</v>
      </c>
      <c r="G163" s="47" t="s">
        <v>11</v>
      </c>
      <c r="H163" s="49" t="b">
        <v>1</v>
      </c>
      <c r="I163" s="49" t="b">
        <v>0</v>
      </c>
      <c r="J163" s="49"/>
      <c r="K163" s="49" t="b">
        <v>1</v>
      </c>
      <c r="L163" s="49" t="b">
        <v>1</v>
      </c>
      <c r="M163" s="49" t="b">
        <v>1</v>
      </c>
      <c r="N163" s="49" t="b">
        <v>0</v>
      </c>
      <c r="O163" s="49" t="b">
        <v>0</v>
      </c>
      <c r="P163" s="14" t="s">
        <v>113</v>
      </c>
      <c r="Q163" s="49" t="b">
        <v>1</v>
      </c>
      <c r="R163" s="49" t="b">
        <v>1</v>
      </c>
      <c r="S163" s="15" t="b">
        <v>0</v>
      </c>
      <c r="T163" s="15" t="b">
        <v>0</v>
      </c>
      <c r="V163" s="14" t="s">
        <v>106</v>
      </c>
      <c r="W163" s="14" t="s">
        <v>340</v>
      </c>
    </row>
    <row r="164" ht="17.25" customHeight="1">
      <c r="A164" s="47" t="s">
        <v>341</v>
      </c>
      <c r="B164" s="48" t="s">
        <v>103</v>
      </c>
      <c r="C164" s="47" t="s">
        <v>103</v>
      </c>
      <c r="D164" s="47" t="s">
        <v>122</v>
      </c>
      <c r="E164" s="47" t="s">
        <v>75</v>
      </c>
      <c r="F164" s="47" t="s">
        <v>86</v>
      </c>
      <c r="G164" s="47" t="s">
        <v>10</v>
      </c>
      <c r="H164" s="49" t="b">
        <v>0</v>
      </c>
      <c r="I164" s="49" t="b">
        <v>1</v>
      </c>
      <c r="J164" s="49" t="b">
        <v>0</v>
      </c>
      <c r="K164" s="49" t="b">
        <v>0</v>
      </c>
      <c r="L164" s="49" t="b">
        <v>0</v>
      </c>
      <c r="M164" s="49" t="b">
        <v>0</v>
      </c>
      <c r="N164" s="49" t="b">
        <v>0</v>
      </c>
      <c r="O164" s="49" t="b">
        <v>0</v>
      </c>
      <c r="P164" s="14" t="s">
        <v>87</v>
      </c>
      <c r="Q164" s="49" t="b">
        <v>0</v>
      </c>
      <c r="R164" s="49" t="b">
        <v>0</v>
      </c>
      <c r="S164" s="14" t="b">
        <v>0</v>
      </c>
      <c r="T164" s="14" t="b">
        <v>0</v>
      </c>
      <c r="U164" s="47"/>
      <c r="V164" s="47"/>
      <c r="W164" s="47"/>
    </row>
    <row r="165" ht="17.25" customHeight="1">
      <c r="A165" s="47" t="s">
        <v>342</v>
      </c>
      <c r="B165" s="48" t="s">
        <v>80</v>
      </c>
      <c r="C165" s="47" t="s">
        <v>84</v>
      </c>
      <c r="D165" s="47" t="s">
        <v>74</v>
      </c>
      <c r="E165" s="47" t="s">
        <v>75</v>
      </c>
      <c r="F165" s="47" t="s">
        <v>76</v>
      </c>
      <c r="G165" s="47" t="s">
        <v>16</v>
      </c>
      <c r="H165" s="49" t="b">
        <v>1</v>
      </c>
      <c r="I165" s="49" t="b">
        <v>0</v>
      </c>
      <c r="J165" s="49"/>
      <c r="K165" s="49" t="b">
        <v>0</v>
      </c>
      <c r="L165" s="49" t="b">
        <v>0</v>
      </c>
      <c r="M165" s="49" t="b">
        <v>1</v>
      </c>
      <c r="N165" s="49" t="b">
        <v>0</v>
      </c>
      <c r="O165" s="49" t="b">
        <v>0</v>
      </c>
      <c r="P165" s="14" t="s">
        <v>113</v>
      </c>
      <c r="Q165" s="49" t="b">
        <v>1</v>
      </c>
      <c r="R165" s="49" t="b">
        <v>1</v>
      </c>
      <c r="S165" s="15" t="b">
        <v>0</v>
      </c>
      <c r="T165" s="15" t="b">
        <v>0</v>
      </c>
      <c r="W165" s="14" t="s">
        <v>106</v>
      </c>
    </row>
    <row r="166" ht="17.25" customHeight="1">
      <c r="A166" s="14" t="s">
        <v>343</v>
      </c>
      <c r="B166" s="14" t="s">
        <v>109</v>
      </c>
      <c r="C166" s="14" t="s">
        <v>110</v>
      </c>
      <c r="D166" s="47" t="s">
        <v>74</v>
      </c>
      <c r="E166" s="47" t="s">
        <v>75</v>
      </c>
      <c r="F166" s="47" t="s">
        <v>76</v>
      </c>
      <c r="G166" s="47" t="s">
        <v>8</v>
      </c>
      <c r="H166" s="49" t="b">
        <v>1</v>
      </c>
      <c r="I166" s="49" t="b">
        <v>0</v>
      </c>
      <c r="J166" s="49" t="b">
        <v>0</v>
      </c>
      <c r="K166" s="49" t="b">
        <v>1</v>
      </c>
      <c r="L166" s="49" t="b">
        <v>1</v>
      </c>
      <c r="M166" s="49" t="b">
        <v>1</v>
      </c>
      <c r="N166" s="49" t="b">
        <v>0</v>
      </c>
      <c r="O166" s="49" t="b">
        <v>0</v>
      </c>
      <c r="P166" s="14" t="s">
        <v>87</v>
      </c>
      <c r="Q166" s="49" t="b">
        <v>1</v>
      </c>
      <c r="R166" s="49" t="b">
        <v>1</v>
      </c>
      <c r="S166" s="15" t="b">
        <v>0</v>
      </c>
      <c r="T166" s="15" t="b">
        <v>0</v>
      </c>
      <c r="V166" s="14" t="s">
        <v>106</v>
      </c>
    </row>
    <row r="167" ht="17.25" customHeight="1">
      <c r="A167" s="14" t="s">
        <v>344</v>
      </c>
      <c r="B167" s="14" t="s">
        <v>345</v>
      </c>
      <c r="C167" s="47" t="s">
        <v>95</v>
      </c>
      <c r="D167" s="47" t="s">
        <v>85</v>
      </c>
      <c r="E167" s="47" t="s">
        <v>75</v>
      </c>
      <c r="F167" s="47" t="s">
        <v>86</v>
      </c>
      <c r="G167" s="47" t="s">
        <v>10</v>
      </c>
      <c r="H167" s="49" t="b">
        <v>1</v>
      </c>
      <c r="I167" s="49" t="b">
        <v>0</v>
      </c>
      <c r="J167" s="49"/>
      <c r="K167" s="49" t="b">
        <v>0</v>
      </c>
      <c r="L167" s="49" t="b">
        <v>0</v>
      </c>
      <c r="M167" s="49" t="b">
        <v>0</v>
      </c>
      <c r="N167" s="49" t="b">
        <v>0</v>
      </c>
      <c r="O167" s="49" t="b">
        <v>0</v>
      </c>
      <c r="P167" s="14" t="s">
        <v>113</v>
      </c>
      <c r="Q167" s="49" t="b">
        <v>1</v>
      </c>
      <c r="R167" s="49" t="b">
        <v>1</v>
      </c>
      <c r="V167" s="14" t="s">
        <v>106</v>
      </c>
    </row>
    <row r="168" ht="17.25" customHeight="1">
      <c r="A168" s="47" t="s">
        <v>346</v>
      </c>
      <c r="B168" s="48" t="s">
        <v>103</v>
      </c>
      <c r="C168" s="47" t="s">
        <v>103</v>
      </c>
      <c r="D168" s="47" t="s">
        <v>85</v>
      </c>
      <c r="E168" s="47" t="s">
        <v>75</v>
      </c>
      <c r="F168" s="47" t="s">
        <v>86</v>
      </c>
      <c r="G168" s="47" t="s">
        <v>10</v>
      </c>
      <c r="H168" s="49" t="b">
        <v>0</v>
      </c>
      <c r="I168" s="49" t="b">
        <v>0</v>
      </c>
      <c r="J168" s="49"/>
      <c r="K168" s="49" t="b">
        <v>0</v>
      </c>
      <c r="L168" s="49" t="b">
        <v>0</v>
      </c>
      <c r="M168" s="49" t="b">
        <v>0</v>
      </c>
      <c r="N168" s="49" t="b">
        <v>0</v>
      </c>
      <c r="O168" s="49" t="b">
        <v>0</v>
      </c>
      <c r="P168" s="14" t="s">
        <v>23</v>
      </c>
      <c r="Q168" s="49" t="b">
        <v>0</v>
      </c>
      <c r="R168" s="49" t="b">
        <v>0</v>
      </c>
      <c r="S168" s="14" t="b">
        <v>0</v>
      </c>
      <c r="T168" s="15" t="b">
        <v>0</v>
      </c>
      <c r="V168" s="14"/>
      <c r="W168" s="14"/>
    </row>
    <row r="169" ht="17.25" customHeight="1">
      <c r="A169" s="71" t="s">
        <v>347</v>
      </c>
      <c r="B169" s="48" t="s">
        <v>80</v>
      </c>
      <c r="C169" s="14" t="s">
        <v>73</v>
      </c>
      <c r="D169" s="14" t="s">
        <v>122</v>
      </c>
      <c r="E169" s="47" t="s">
        <v>82</v>
      </c>
      <c r="F169" s="47" t="s">
        <v>86</v>
      </c>
      <c r="G169" s="47" t="s">
        <v>247</v>
      </c>
      <c r="H169" s="49" t="b">
        <v>0</v>
      </c>
      <c r="I169" s="49" t="b">
        <v>0</v>
      </c>
      <c r="J169" s="49" t="s">
        <v>348</v>
      </c>
      <c r="K169" s="49" t="b">
        <v>0</v>
      </c>
      <c r="L169" s="49" t="b">
        <v>0</v>
      </c>
      <c r="M169" s="49" t="b">
        <v>0</v>
      </c>
      <c r="N169" s="49" t="b">
        <v>0</v>
      </c>
      <c r="O169" s="49" t="b">
        <v>0</v>
      </c>
      <c r="P169" s="14" t="s">
        <v>87</v>
      </c>
      <c r="Q169" s="49" t="b">
        <v>0</v>
      </c>
      <c r="R169" s="1"/>
      <c r="W169" s="14" t="s">
        <v>349</v>
      </c>
    </row>
    <row r="170" ht="17.25" customHeight="1">
      <c r="A170" s="58" t="s">
        <v>350</v>
      </c>
      <c r="B170" s="48" t="s">
        <v>145</v>
      </c>
      <c r="C170" s="47" t="s">
        <v>95</v>
      </c>
      <c r="D170" s="47" t="s">
        <v>74</v>
      </c>
      <c r="E170" s="47" t="s">
        <v>82</v>
      </c>
      <c r="F170" s="47" t="s">
        <v>76</v>
      </c>
      <c r="G170" s="47" t="s">
        <v>11</v>
      </c>
      <c r="H170" s="49" t="b">
        <v>0</v>
      </c>
      <c r="I170" s="49" t="b">
        <v>1</v>
      </c>
      <c r="J170" s="49" t="b">
        <v>0</v>
      </c>
      <c r="K170" s="49" t="b">
        <v>0</v>
      </c>
      <c r="L170" s="49" t="b">
        <v>0</v>
      </c>
      <c r="M170" s="49" t="b">
        <v>1</v>
      </c>
      <c r="N170" s="49"/>
      <c r="O170" s="49" t="b">
        <v>0</v>
      </c>
      <c r="P170" s="14" t="s">
        <v>87</v>
      </c>
      <c r="Q170" s="49" t="b">
        <v>0</v>
      </c>
      <c r="R170" s="49" t="b">
        <v>1</v>
      </c>
      <c r="S170" s="15" t="b">
        <v>0</v>
      </c>
      <c r="T170" s="15" t="b">
        <v>0</v>
      </c>
      <c r="W170" s="47"/>
    </row>
    <row r="171" ht="17.25" customHeight="1">
      <c r="A171" s="47" t="s">
        <v>351</v>
      </c>
      <c r="B171" s="48" t="s">
        <v>80</v>
      </c>
      <c r="C171" s="47" t="s">
        <v>81</v>
      </c>
      <c r="D171" s="47" t="s">
        <v>74</v>
      </c>
      <c r="E171" s="47" t="s">
        <v>82</v>
      </c>
      <c r="F171" s="47" t="s">
        <v>76</v>
      </c>
      <c r="G171" s="47" t="s">
        <v>15</v>
      </c>
      <c r="H171" s="49" t="b">
        <v>0</v>
      </c>
      <c r="I171" s="49" t="b">
        <v>0</v>
      </c>
      <c r="J171" s="49" t="s">
        <v>214</v>
      </c>
      <c r="K171" s="49" t="b">
        <v>0</v>
      </c>
      <c r="L171" s="49" t="b">
        <v>0</v>
      </c>
      <c r="M171" s="49" t="b">
        <v>1</v>
      </c>
      <c r="N171" s="49" t="b">
        <v>0</v>
      </c>
      <c r="O171" s="49" t="b">
        <v>0</v>
      </c>
      <c r="P171" s="14" t="s">
        <v>23</v>
      </c>
      <c r="Q171" s="49" t="b">
        <v>1</v>
      </c>
      <c r="R171" s="49" t="b">
        <v>1</v>
      </c>
      <c r="S171" s="15" t="b">
        <v>0</v>
      </c>
      <c r="T171" s="15" t="b">
        <v>0</v>
      </c>
      <c r="U171" s="14" t="s">
        <v>194</v>
      </c>
      <c r="W171" s="14" t="s">
        <v>352</v>
      </c>
      <c r="X171" s="47"/>
      <c r="Y171" s="47"/>
      <c r="Z171" s="47"/>
      <c r="AA171" s="47"/>
      <c r="AB171" s="47"/>
      <c r="AC171" s="47"/>
      <c r="AD171" s="47"/>
      <c r="AE171" s="47"/>
      <c r="AF171" s="47"/>
      <c r="AG171" s="47"/>
      <c r="AH171" s="47"/>
      <c r="AI171" s="47"/>
      <c r="AJ171" s="47"/>
      <c r="AK171" s="47"/>
    </row>
    <row r="172" ht="17.25" customHeight="1">
      <c r="A172" s="63" t="s">
        <v>353</v>
      </c>
      <c r="B172" s="48" t="s">
        <v>80</v>
      </c>
      <c r="C172" s="48" t="s">
        <v>73</v>
      </c>
      <c r="D172" s="47" t="s">
        <v>122</v>
      </c>
      <c r="E172" s="47" t="s">
        <v>91</v>
      </c>
      <c r="F172" s="47" t="s">
        <v>86</v>
      </c>
      <c r="G172" s="47" t="s">
        <v>338</v>
      </c>
      <c r="H172" s="49" t="b">
        <v>0</v>
      </c>
      <c r="I172" s="49" t="b">
        <v>1</v>
      </c>
      <c r="J172" s="49"/>
      <c r="K172" s="49" t="b">
        <v>0</v>
      </c>
      <c r="L172" s="49" t="b">
        <v>0</v>
      </c>
      <c r="M172" s="49" t="b">
        <v>0</v>
      </c>
      <c r="N172" s="49"/>
      <c r="O172" s="49" t="b">
        <v>0</v>
      </c>
      <c r="P172" s="14" t="s">
        <v>23</v>
      </c>
      <c r="Q172" s="49" t="b">
        <v>0</v>
      </c>
      <c r="R172" s="49" t="b">
        <v>0</v>
      </c>
      <c r="S172" s="15" t="b">
        <v>0</v>
      </c>
      <c r="T172" s="15" t="b">
        <v>0</v>
      </c>
      <c r="U172" s="47"/>
      <c r="V172" s="47"/>
      <c r="W172" s="47"/>
    </row>
    <row r="173" ht="17.25" customHeight="1">
      <c r="A173" s="50" t="s">
        <v>354</v>
      </c>
      <c r="B173" s="48" t="s">
        <v>72</v>
      </c>
      <c r="C173" s="47" t="s">
        <v>72</v>
      </c>
      <c r="D173" s="47" t="s">
        <v>74</v>
      </c>
      <c r="E173" s="47" t="s">
        <v>91</v>
      </c>
      <c r="F173" s="47" t="s">
        <v>76</v>
      </c>
      <c r="G173" s="47" t="s">
        <v>16</v>
      </c>
      <c r="H173" s="49" t="b">
        <v>0</v>
      </c>
      <c r="I173" s="49" t="b">
        <v>0</v>
      </c>
      <c r="J173" s="49" t="b">
        <v>0</v>
      </c>
      <c r="K173" s="49" t="b">
        <v>0</v>
      </c>
      <c r="L173" s="49" t="b">
        <v>0</v>
      </c>
      <c r="M173" s="49" t="b">
        <v>1</v>
      </c>
      <c r="N173" s="49" t="b">
        <v>0</v>
      </c>
      <c r="O173" s="49" t="b">
        <v>1</v>
      </c>
      <c r="P173" s="14" t="s">
        <v>134</v>
      </c>
      <c r="Q173" s="49" t="b">
        <v>1</v>
      </c>
      <c r="R173" s="49" t="b">
        <v>1</v>
      </c>
      <c r="S173" s="15" t="b">
        <v>0</v>
      </c>
      <c r="T173" s="15" t="b">
        <v>0</v>
      </c>
      <c r="V173" s="14" t="s">
        <v>355</v>
      </c>
      <c r="W173" s="14" t="s">
        <v>356</v>
      </c>
    </row>
    <row r="174" ht="17.25" customHeight="1">
      <c r="A174" s="58" t="s">
        <v>357</v>
      </c>
      <c r="B174" s="48" t="s">
        <v>72</v>
      </c>
      <c r="C174" s="47" t="s">
        <v>72</v>
      </c>
      <c r="D174" s="47" t="s">
        <v>74</v>
      </c>
      <c r="E174" s="47" t="s">
        <v>75</v>
      </c>
      <c r="F174" s="47" t="s">
        <v>76</v>
      </c>
      <c r="G174" s="47" t="s">
        <v>15</v>
      </c>
      <c r="H174" s="49" t="b">
        <v>0</v>
      </c>
      <c r="I174" s="49" t="b">
        <v>1</v>
      </c>
      <c r="J174" s="49" t="s">
        <v>214</v>
      </c>
      <c r="K174" s="49" t="b">
        <v>0</v>
      </c>
      <c r="L174" s="49" t="b">
        <v>0</v>
      </c>
      <c r="M174" s="49" t="b">
        <v>1</v>
      </c>
      <c r="N174" s="49"/>
      <c r="O174" s="49" t="b">
        <v>0</v>
      </c>
      <c r="P174" s="14" t="s">
        <v>23</v>
      </c>
      <c r="Q174" s="49" t="b">
        <v>0</v>
      </c>
      <c r="R174" s="49" t="b">
        <v>1</v>
      </c>
      <c r="S174" s="15" t="b">
        <v>0</v>
      </c>
      <c r="T174" s="15" t="b">
        <v>0</v>
      </c>
      <c r="U174" s="14" t="s">
        <v>215</v>
      </c>
      <c r="W174" s="47" t="s">
        <v>358</v>
      </c>
    </row>
    <row r="175" ht="17.25" customHeight="1">
      <c r="A175" s="50" t="s">
        <v>359</v>
      </c>
      <c r="B175" s="48" t="s">
        <v>72</v>
      </c>
      <c r="C175" s="47" t="s">
        <v>72</v>
      </c>
      <c r="D175" s="47" t="s">
        <v>205</v>
      </c>
      <c r="E175" s="47" t="s">
        <v>75</v>
      </c>
      <c r="F175" s="47" t="s">
        <v>86</v>
      </c>
      <c r="G175" s="47" t="s">
        <v>8</v>
      </c>
      <c r="H175" s="49" t="b">
        <v>0</v>
      </c>
      <c r="I175" s="49" t="b">
        <v>0</v>
      </c>
      <c r="J175" s="49"/>
      <c r="K175" s="49" t="b">
        <v>0</v>
      </c>
      <c r="L175" s="49" t="b">
        <v>0</v>
      </c>
      <c r="M175" s="49" t="b">
        <v>0</v>
      </c>
      <c r="N175" s="49" t="b">
        <v>0</v>
      </c>
      <c r="O175" s="49" t="b">
        <v>0</v>
      </c>
      <c r="P175" s="57"/>
      <c r="Q175" s="49" t="b">
        <v>0</v>
      </c>
      <c r="R175" s="49" t="b">
        <v>0</v>
      </c>
      <c r="S175" s="14" t="b">
        <v>0</v>
      </c>
      <c r="T175" s="15" t="b">
        <v>0</v>
      </c>
      <c r="W175" s="14" t="s">
        <v>360</v>
      </c>
      <c r="X175" s="47"/>
      <c r="Y175" s="47"/>
      <c r="Z175" s="47"/>
      <c r="AA175" s="47"/>
      <c r="AB175" s="47"/>
      <c r="AC175" s="47"/>
      <c r="AD175" s="47"/>
      <c r="AE175" s="47"/>
      <c r="AF175" s="47"/>
      <c r="AG175" s="47"/>
      <c r="AH175" s="47"/>
      <c r="AI175" s="47"/>
      <c r="AJ175" s="47"/>
      <c r="AK175" s="47"/>
    </row>
    <row r="176" ht="17.25" customHeight="1">
      <c r="A176" s="47" t="s">
        <v>361</v>
      </c>
      <c r="B176" s="48" t="s">
        <v>288</v>
      </c>
      <c r="C176" s="47" t="s">
        <v>84</v>
      </c>
      <c r="D176" s="47" t="s">
        <v>90</v>
      </c>
      <c r="E176" s="47" t="s">
        <v>75</v>
      </c>
      <c r="F176" s="47" t="s">
        <v>86</v>
      </c>
      <c r="G176" s="47" t="s">
        <v>15</v>
      </c>
      <c r="H176" s="49" t="b">
        <v>0</v>
      </c>
      <c r="I176" s="49" t="b">
        <v>0</v>
      </c>
      <c r="J176" s="49" t="s">
        <v>242</v>
      </c>
      <c r="K176" s="49" t="b">
        <v>0</v>
      </c>
      <c r="L176" s="49" t="b">
        <v>0</v>
      </c>
      <c r="M176" s="49" t="b">
        <v>0</v>
      </c>
      <c r="N176" s="49" t="b">
        <v>0</v>
      </c>
      <c r="O176" s="49" t="b">
        <v>0</v>
      </c>
      <c r="P176" s="14" t="s">
        <v>23</v>
      </c>
      <c r="Q176" s="49" t="b">
        <v>0</v>
      </c>
      <c r="R176" s="49" t="b">
        <v>0</v>
      </c>
      <c r="S176" s="15" t="b">
        <v>0</v>
      </c>
      <c r="T176" s="15" t="b">
        <v>0</v>
      </c>
      <c r="U176" s="47" t="s">
        <v>215</v>
      </c>
      <c r="V176" s="47"/>
      <c r="W176" s="47" t="s">
        <v>362</v>
      </c>
    </row>
    <row r="177" ht="17.25" customHeight="1">
      <c r="A177" s="50" t="s">
        <v>363</v>
      </c>
      <c r="B177" s="48" t="s">
        <v>72</v>
      </c>
      <c r="C177" s="48" t="s">
        <v>72</v>
      </c>
      <c r="D177" s="47" t="s">
        <v>122</v>
      </c>
      <c r="E177" s="47" t="s">
        <v>91</v>
      </c>
      <c r="F177" s="47" t="s">
        <v>86</v>
      </c>
      <c r="G177" s="47" t="s">
        <v>8</v>
      </c>
      <c r="H177" s="49" t="b">
        <v>0</v>
      </c>
      <c r="I177" s="49" t="b">
        <v>0</v>
      </c>
      <c r="J177" s="49"/>
      <c r="K177" s="49" t="b">
        <v>0</v>
      </c>
      <c r="L177" s="49" t="b">
        <v>0</v>
      </c>
      <c r="M177" s="49" t="b">
        <v>0</v>
      </c>
      <c r="N177" s="49" t="b">
        <v>0</v>
      </c>
      <c r="O177" s="49" t="b">
        <v>0</v>
      </c>
      <c r="P177" s="57"/>
      <c r="Q177" s="49" t="b">
        <v>0</v>
      </c>
      <c r="R177" s="49" t="b">
        <v>0</v>
      </c>
      <c r="S177" s="14" t="b">
        <v>0</v>
      </c>
      <c r="T177" s="15" t="b">
        <v>0</v>
      </c>
      <c r="W177" s="14"/>
      <c r="X177" s="47"/>
      <c r="Y177" s="47"/>
      <c r="Z177" s="47"/>
      <c r="AA177" s="47"/>
      <c r="AB177" s="47"/>
      <c r="AC177" s="47"/>
      <c r="AD177" s="47"/>
      <c r="AE177" s="47"/>
      <c r="AF177" s="47"/>
      <c r="AG177" s="47"/>
      <c r="AH177" s="47"/>
      <c r="AI177" s="47"/>
      <c r="AJ177" s="47"/>
      <c r="AK177" s="47"/>
    </row>
    <row r="178" ht="17.25" customHeight="1">
      <c r="A178" s="47" t="s">
        <v>364</v>
      </c>
      <c r="B178" s="48" t="s">
        <v>80</v>
      </c>
      <c r="C178" s="47" t="s">
        <v>84</v>
      </c>
      <c r="D178" s="47" t="s">
        <v>85</v>
      </c>
      <c r="E178" s="47" t="s">
        <v>96</v>
      </c>
      <c r="F178" s="47" t="s">
        <v>86</v>
      </c>
      <c r="G178" s="47" t="s">
        <v>15</v>
      </c>
      <c r="H178" s="49" t="b">
        <v>0</v>
      </c>
      <c r="I178" s="49" t="b">
        <v>0</v>
      </c>
      <c r="J178" s="49" t="s">
        <v>242</v>
      </c>
      <c r="K178" s="49" t="b">
        <v>0</v>
      </c>
      <c r="L178" s="49" t="b">
        <v>0</v>
      </c>
      <c r="M178" s="49" t="b">
        <v>0</v>
      </c>
      <c r="N178" s="49" t="b">
        <v>0</v>
      </c>
      <c r="O178" s="49" t="b">
        <v>0</v>
      </c>
      <c r="P178" s="14" t="s">
        <v>23</v>
      </c>
      <c r="Q178" s="49" t="b">
        <v>0</v>
      </c>
      <c r="R178" s="49" t="b">
        <v>0</v>
      </c>
      <c r="S178" s="15" t="b">
        <v>0</v>
      </c>
      <c r="T178" s="15" t="b">
        <v>0</v>
      </c>
      <c r="U178" s="47" t="s">
        <v>215</v>
      </c>
      <c r="V178" s="47"/>
      <c r="W178" s="47" t="s">
        <v>365</v>
      </c>
    </row>
    <row r="179" ht="17.25" customHeight="1">
      <c r="A179" s="47" t="s">
        <v>366</v>
      </c>
      <c r="B179" s="48" t="s">
        <v>103</v>
      </c>
      <c r="C179" s="48" t="s">
        <v>103</v>
      </c>
      <c r="D179" s="47" t="s">
        <v>100</v>
      </c>
      <c r="E179" s="47" t="s">
        <v>75</v>
      </c>
      <c r="F179" s="47" t="s">
        <v>76</v>
      </c>
      <c r="G179" s="47" t="s">
        <v>10</v>
      </c>
      <c r="H179" s="49" t="b">
        <v>1</v>
      </c>
      <c r="I179" s="49" t="b">
        <v>0</v>
      </c>
      <c r="J179" s="49" t="b">
        <v>0</v>
      </c>
      <c r="K179" s="49" t="b">
        <v>1</v>
      </c>
      <c r="L179" s="49" t="b">
        <v>1</v>
      </c>
      <c r="M179" s="49" t="b">
        <v>1</v>
      </c>
      <c r="N179" s="49" t="b">
        <v>0</v>
      </c>
      <c r="O179" s="49" t="b">
        <v>0</v>
      </c>
      <c r="P179" s="14" t="s">
        <v>78</v>
      </c>
      <c r="Q179" s="49" t="b">
        <v>1</v>
      </c>
      <c r="R179" s="49" t="b">
        <v>1</v>
      </c>
      <c r="S179" s="14" t="b">
        <v>1</v>
      </c>
      <c r="T179" s="15" t="b">
        <v>0</v>
      </c>
      <c r="W179" s="14" t="s">
        <v>106</v>
      </c>
    </row>
    <row r="180" ht="17.25" customHeight="1">
      <c r="A180" s="47" t="s">
        <v>367</v>
      </c>
      <c r="B180" s="48" t="s">
        <v>109</v>
      </c>
      <c r="C180" s="47" t="s">
        <v>110</v>
      </c>
      <c r="D180" s="47" t="s">
        <v>122</v>
      </c>
      <c r="E180" s="47" t="s">
        <v>75</v>
      </c>
      <c r="F180" s="47" t="s">
        <v>76</v>
      </c>
      <c r="G180" s="47" t="s">
        <v>8</v>
      </c>
      <c r="H180" s="49" t="b">
        <v>1</v>
      </c>
      <c r="I180" s="49" t="b">
        <v>0</v>
      </c>
      <c r="J180" s="49"/>
      <c r="K180" s="49" t="b">
        <v>0</v>
      </c>
      <c r="L180" s="49" t="b">
        <v>0</v>
      </c>
      <c r="M180" s="49" t="b">
        <v>1</v>
      </c>
      <c r="N180" s="49" t="b">
        <v>0</v>
      </c>
      <c r="O180" s="49" t="b">
        <v>0</v>
      </c>
      <c r="P180" s="14" t="s">
        <v>78</v>
      </c>
      <c r="Q180" s="49" t="b">
        <v>1</v>
      </c>
      <c r="R180" s="49" t="b">
        <v>1</v>
      </c>
      <c r="S180" s="15" t="b">
        <v>0</v>
      </c>
      <c r="T180" s="15" t="b">
        <v>0</v>
      </c>
      <c r="V180" s="14" t="s">
        <v>106</v>
      </c>
    </row>
    <row r="181" ht="17.25" customHeight="1">
      <c r="A181" s="47" t="s">
        <v>368</v>
      </c>
      <c r="B181" s="48" t="s">
        <v>103</v>
      </c>
      <c r="C181" s="48" t="s">
        <v>103</v>
      </c>
      <c r="D181" s="47" t="s">
        <v>142</v>
      </c>
      <c r="E181" s="47" t="s">
        <v>75</v>
      </c>
      <c r="F181" s="47" t="s">
        <v>86</v>
      </c>
      <c r="G181" s="47" t="s">
        <v>21</v>
      </c>
      <c r="H181" s="49" t="b">
        <v>0</v>
      </c>
      <c r="I181" s="49" t="b">
        <v>0</v>
      </c>
      <c r="J181" s="49"/>
      <c r="K181" s="49" t="b">
        <v>0</v>
      </c>
      <c r="L181" s="49" t="b">
        <v>0</v>
      </c>
      <c r="M181" s="49" t="b">
        <v>0</v>
      </c>
      <c r="N181" s="49" t="b">
        <v>0</v>
      </c>
      <c r="O181" s="49" t="b">
        <v>0</v>
      </c>
      <c r="P181" s="57"/>
      <c r="Q181" s="49" t="b">
        <v>1</v>
      </c>
      <c r="R181" s="49" t="b">
        <v>0</v>
      </c>
      <c r="S181" s="15" t="b">
        <v>0</v>
      </c>
      <c r="T181" s="15" t="b">
        <v>0</v>
      </c>
      <c r="W181" s="14" t="s">
        <v>369</v>
      </c>
    </row>
    <row r="182" ht="17.25" customHeight="1">
      <c r="A182" s="58" t="s">
        <v>370</v>
      </c>
      <c r="B182" s="48" t="s">
        <v>72</v>
      </c>
      <c r="C182" s="47" t="s">
        <v>72</v>
      </c>
      <c r="D182" s="47" t="s">
        <v>100</v>
      </c>
      <c r="E182" s="47" t="s">
        <v>75</v>
      </c>
      <c r="F182" s="47" t="s">
        <v>76</v>
      </c>
      <c r="G182" s="47" t="s">
        <v>16</v>
      </c>
      <c r="H182" s="49" t="b">
        <v>1</v>
      </c>
      <c r="I182" s="49" t="b">
        <v>0</v>
      </c>
      <c r="J182" s="49" t="b">
        <v>0</v>
      </c>
      <c r="K182" s="49" t="b">
        <v>1</v>
      </c>
      <c r="L182" s="49" t="b">
        <v>0</v>
      </c>
      <c r="M182" s="49" t="b">
        <v>1</v>
      </c>
      <c r="N182" s="49" t="b">
        <v>0</v>
      </c>
      <c r="O182" s="49" t="b">
        <v>0</v>
      </c>
      <c r="P182" s="14" t="s">
        <v>87</v>
      </c>
      <c r="Q182" s="49" t="b">
        <v>1</v>
      </c>
      <c r="R182" s="49" t="b">
        <v>1</v>
      </c>
      <c r="S182" s="15" t="b">
        <v>0</v>
      </c>
      <c r="T182" s="15" t="b">
        <v>0</v>
      </c>
      <c r="X182" s="47"/>
      <c r="Y182" s="47"/>
      <c r="Z182" s="47"/>
      <c r="AA182" s="47"/>
      <c r="AB182" s="47"/>
      <c r="AC182" s="47"/>
      <c r="AD182" s="47"/>
      <c r="AE182" s="47"/>
      <c r="AF182" s="47"/>
      <c r="AG182" s="47"/>
      <c r="AH182" s="47"/>
      <c r="AI182" s="47"/>
      <c r="AJ182" s="47"/>
      <c r="AK182" s="47"/>
    </row>
    <row r="183" ht="17.25" customHeight="1">
      <c r="A183" s="42" t="s">
        <v>371</v>
      </c>
      <c r="B183" s="48" t="s">
        <v>285</v>
      </c>
      <c r="C183" s="47" t="s">
        <v>73</v>
      </c>
      <c r="D183" s="47" t="s">
        <v>90</v>
      </c>
      <c r="E183" s="47" t="s">
        <v>82</v>
      </c>
      <c r="F183" s="47" t="s">
        <v>86</v>
      </c>
      <c r="G183" s="47" t="s">
        <v>8</v>
      </c>
      <c r="H183" s="49" t="b">
        <v>0</v>
      </c>
      <c r="I183" s="49" t="b">
        <v>1</v>
      </c>
      <c r="J183" s="49"/>
      <c r="K183" s="49" t="b">
        <v>0</v>
      </c>
      <c r="L183" s="49" t="b">
        <v>0</v>
      </c>
      <c r="M183" s="49" t="b">
        <v>0</v>
      </c>
      <c r="N183" s="49" t="b">
        <v>0</v>
      </c>
      <c r="O183" s="49" t="b">
        <v>0</v>
      </c>
      <c r="P183" s="14" t="s">
        <v>113</v>
      </c>
      <c r="Q183" s="49" t="b">
        <v>0</v>
      </c>
      <c r="R183" s="49" t="b">
        <v>0</v>
      </c>
      <c r="S183" s="15" t="b">
        <v>0</v>
      </c>
      <c r="T183" s="15" t="b">
        <v>0</v>
      </c>
      <c r="U183" s="47"/>
      <c r="V183" s="47"/>
      <c r="W183" s="47"/>
    </row>
    <row r="184" ht="17.25" customHeight="1">
      <c r="A184" s="47" t="s">
        <v>372</v>
      </c>
      <c r="B184" s="48" t="s">
        <v>72</v>
      </c>
      <c r="C184" s="47" t="s">
        <v>72</v>
      </c>
      <c r="D184" s="47" t="s">
        <v>85</v>
      </c>
      <c r="E184" s="47" t="s">
        <v>101</v>
      </c>
      <c r="F184" s="47" t="s">
        <v>86</v>
      </c>
      <c r="G184" s="47" t="s">
        <v>16</v>
      </c>
      <c r="H184" s="49" t="b">
        <v>0</v>
      </c>
      <c r="I184" s="49" t="b">
        <v>0</v>
      </c>
      <c r="J184" s="49" t="b">
        <v>0</v>
      </c>
      <c r="K184" s="49" t="b">
        <v>0</v>
      </c>
      <c r="L184" s="49" t="b">
        <v>0</v>
      </c>
      <c r="M184" s="49" t="b">
        <v>0</v>
      </c>
      <c r="N184" s="49" t="b">
        <v>0</v>
      </c>
      <c r="O184" s="49" t="b">
        <v>0</v>
      </c>
      <c r="P184" s="14" t="s">
        <v>78</v>
      </c>
      <c r="Q184" s="49" t="b">
        <v>0</v>
      </c>
      <c r="R184" s="49" t="b">
        <v>0</v>
      </c>
      <c r="S184" s="15" t="b">
        <v>0</v>
      </c>
      <c r="T184" s="14" t="b">
        <v>0</v>
      </c>
      <c r="U184" s="47"/>
      <c r="V184" s="47"/>
      <c r="W184" s="47" t="s">
        <v>114</v>
      </c>
    </row>
    <row r="185" ht="17.25" customHeight="1">
      <c r="A185" s="47" t="s">
        <v>373</v>
      </c>
      <c r="B185" s="48" t="s">
        <v>72</v>
      </c>
      <c r="C185" s="47" t="s">
        <v>72</v>
      </c>
      <c r="D185" s="47" t="s">
        <v>100</v>
      </c>
      <c r="E185" s="47" t="s">
        <v>101</v>
      </c>
      <c r="F185" s="47" t="s">
        <v>76</v>
      </c>
      <c r="G185" s="47" t="s">
        <v>8</v>
      </c>
      <c r="H185" s="49" t="b">
        <v>0</v>
      </c>
      <c r="I185" s="49" t="b">
        <v>0</v>
      </c>
      <c r="J185" s="49"/>
      <c r="K185" s="49" t="b">
        <v>1</v>
      </c>
      <c r="L185" s="49" t="b">
        <v>1</v>
      </c>
      <c r="M185" s="49" t="b">
        <v>0</v>
      </c>
      <c r="N185" s="49" t="b">
        <v>0</v>
      </c>
      <c r="O185" s="49" t="b">
        <v>0</v>
      </c>
      <c r="P185" s="14" t="s">
        <v>113</v>
      </c>
      <c r="Q185" s="49" t="b">
        <v>1</v>
      </c>
      <c r="R185" s="49" t="b">
        <v>1</v>
      </c>
      <c r="S185" s="15" t="b">
        <v>0</v>
      </c>
      <c r="T185" s="15" t="b">
        <v>0</v>
      </c>
      <c r="W185" s="14" t="s">
        <v>333</v>
      </c>
    </row>
    <row r="186" ht="17.25" customHeight="1">
      <c r="A186" s="47" t="s">
        <v>374</v>
      </c>
      <c r="B186" s="48" t="s">
        <v>80</v>
      </c>
      <c r="C186" s="47" t="s">
        <v>84</v>
      </c>
      <c r="D186" s="47" t="s">
        <v>122</v>
      </c>
      <c r="E186" s="47" t="s">
        <v>82</v>
      </c>
      <c r="F186" s="47" t="s">
        <v>86</v>
      </c>
      <c r="G186" s="47" t="s">
        <v>15</v>
      </c>
      <c r="H186" s="49" t="b">
        <v>0</v>
      </c>
      <c r="I186" s="49" t="b">
        <v>0</v>
      </c>
      <c r="J186" s="49" t="s">
        <v>248</v>
      </c>
      <c r="K186" s="49" t="b">
        <v>0</v>
      </c>
      <c r="L186" s="49" t="b">
        <v>0</v>
      </c>
      <c r="M186" s="49" t="b">
        <v>0</v>
      </c>
      <c r="N186" s="49" t="b">
        <v>0</v>
      </c>
      <c r="O186" s="49" t="b">
        <v>0</v>
      </c>
      <c r="P186" s="14" t="s">
        <v>87</v>
      </c>
      <c r="Q186" s="49" t="b">
        <v>0</v>
      </c>
      <c r="R186" s="49" t="b">
        <v>0</v>
      </c>
      <c r="S186" s="15" t="b">
        <v>0</v>
      </c>
      <c r="T186" s="15" t="b">
        <v>0</v>
      </c>
      <c r="U186" s="47" t="s">
        <v>215</v>
      </c>
      <c r="V186" s="47"/>
      <c r="W186" s="47" t="s">
        <v>375</v>
      </c>
      <c r="X186" s="47"/>
      <c r="Y186" s="47"/>
      <c r="Z186" s="47"/>
      <c r="AA186" s="47"/>
      <c r="AB186" s="47"/>
      <c r="AC186" s="47"/>
      <c r="AD186" s="47"/>
      <c r="AE186" s="47"/>
      <c r="AF186" s="47"/>
      <c r="AG186" s="47"/>
      <c r="AH186" s="47"/>
      <c r="AI186" s="47"/>
      <c r="AJ186" s="47"/>
      <c r="AK186" s="47"/>
    </row>
    <row r="187" ht="17.25" customHeight="1">
      <c r="A187" s="50" t="s">
        <v>376</v>
      </c>
      <c r="B187" s="48" t="s">
        <v>72</v>
      </c>
      <c r="C187" s="48" t="s">
        <v>72</v>
      </c>
      <c r="D187" s="47" t="s">
        <v>74</v>
      </c>
      <c r="E187" s="47" t="s">
        <v>96</v>
      </c>
      <c r="F187" s="47" t="s">
        <v>76</v>
      </c>
      <c r="G187" s="47" t="s">
        <v>16</v>
      </c>
      <c r="H187" s="49" t="b">
        <v>0</v>
      </c>
      <c r="I187" s="49" t="b">
        <v>0</v>
      </c>
      <c r="J187" s="49" t="b">
        <v>0</v>
      </c>
      <c r="K187" s="49" t="b">
        <v>0</v>
      </c>
      <c r="L187" s="49" t="b">
        <v>0</v>
      </c>
      <c r="M187" s="49" t="b">
        <v>1</v>
      </c>
      <c r="N187" s="49" t="b">
        <v>0</v>
      </c>
      <c r="O187" s="49" t="b">
        <v>1</v>
      </c>
      <c r="P187" s="14" t="s">
        <v>134</v>
      </c>
      <c r="Q187" s="49" t="b">
        <v>0</v>
      </c>
      <c r="R187" s="49" t="b">
        <v>1</v>
      </c>
      <c r="S187" s="15" t="b">
        <v>0</v>
      </c>
      <c r="T187" s="15" t="b">
        <v>0</v>
      </c>
      <c r="V187" s="14" t="s">
        <v>106</v>
      </c>
      <c r="W187" s="14" t="s">
        <v>356</v>
      </c>
      <c r="X187" s="61"/>
      <c r="Y187" s="61"/>
      <c r="Z187" s="61"/>
      <c r="AA187" s="61"/>
      <c r="AB187" s="61"/>
      <c r="AC187" s="61"/>
      <c r="AD187" s="61"/>
      <c r="AE187" s="61"/>
      <c r="AF187" s="61"/>
      <c r="AG187" s="61"/>
      <c r="AH187" s="61"/>
      <c r="AI187" s="61"/>
      <c r="AJ187" s="61"/>
      <c r="AK187" s="61"/>
    </row>
    <row r="188" ht="17.25" customHeight="1">
      <c r="A188" s="58" t="s">
        <v>377</v>
      </c>
      <c r="B188" s="48" t="s">
        <v>72</v>
      </c>
      <c r="C188" s="47" t="s">
        <v>72</v>
      </c>
      <c r="D188" s="47" t="s">
        <v>74</v>
      </c>
      <c r="E188" s="47" t="s">
        <v>96</v>
      </c>
      <c r="F188" s="47" t="s">
        <v>76</v>
      </c>
      <c r="G188" s="47" t="s">
        <v>16</v>
      </c>
      <c r="H188" s="49" t="b">
        <v>1</v>
      </c>
      <c r="I188" s="49" t="b">
        <v>0</v>
      </c>
      <c r="J188" s="49" t="b">
        <v>0</v>
      </c>
      <c r="K188" s="49" t="b">
        <v>0</v>
      </c>
      <c r="L188" s="49" t="b">
        <v>0</v>
      </c>
      <c r="M188" s="49" t="b">
        <v>1</v>
      </c>
      <c r="N188" s="49" t="b">
        <v>0</v>
      </c>
      <c r="O188" s="49" t="b">
        <v>0</v>
      </c>
      <c r="P188" s="14" t="s">
        <v>87</v>
      </c>
      <c r="Q188" s="49" t="b">
        <v>1</v>
      </c>
      <c r="R188" s="49" t="b">
        <v>1</v>
      </c>
      <c r="S188" s="15" t="b">
        <v>0</v>
      </c>
      <c r="T188" s="15" t="b">
        <v>0</v>
      </c>
    </row>
    <row r="189" ht="17.25" customHeight="1">
      <c r="A189" s="14" t="s">
        <v>378</v>
      </c>
      <c r="B189" s="14" t="s">
        <v>379</v>
      </c>
      <c r="C189" s="14" t="s">
        <v>73</v>
      </c>
      <c r="D189" s="14" t="s">
        <v>74</v>
      </c>
      <c r="E189" s="47" t="s">
        <v>82</v>
      </c>
      <c r="F189" s="47" t="s">
        <v>86</v>
      </c>
      <c r="G189" s="47" t="s">
        <v>338</v>
      </c>
      <c r="H189" s="49" t="b">
        <v>1</v>
      </c>
      <c r="I189" s="49" t="b">
        <v>0</v>
      </c>
      <c r="J189" s="49"/>
      <c r="K189" s="49" t="b">
        <v>0</v>
      </c>
      <c r="L189" s="49" t="b">
        <v>0</v>
      </c>
      <c r="M189" s="49" t="b">
        <v>0</v>
      </c>
      <c r="N189" s="49" t="b">
        <v>0</v>
      </c>
      <c r="O189" s="49" t="b">
        <v>0</v>
      </c>
      <c r="P189" s="14" t="s">
        <v>113</v>
      </c>
      <c r="Q189" s="49" t="b">
        <v>0</v>
      </c>
      <c r="R189" s="1"/>
    </row>
    <row r="190" ht="17.25" customHeight="1">
      <c r="A190" s="58" t="s">
        <v>380</v>
      </c>
      <c r="B190" s="48" t="s">
        <v>80</v>
      </c>
      <c r="C190" s="47" t="s">
        <v>84</v>
      </c>
      <c r="D190" s="47" t="s">
        <v>122</v>
      </c>
      <c r="E190" s="47" t="s">
        <v>75</v>
      </c>
      <c r="F190" s="47" t="s">
        <v>86</v>
      </c>
      <c r="G190" s="47" t="s">
        <v>16</v>
      </c>
      <c r="H190" s="49" t="b">
        <v>0</v>
      </c>
      <c r="I190" s="49" t="b">
        <v>0</v>
      </c>
      <c r="J190" s="49" t="b">
        <v>0</v>
      </c>
      <c r="K190" s="49" t="b">
        <v>0</v>
      </c>
      <c r="L190" s="49" t="b">
        <v>0</v>
      </c>
      <c r="M190" s="49" t="b">
        <v>0</v>
      </c>
      <c r="N190" s="49" t="b">
        <v>0</v>
      </c>
      <c r="O190" s="49" t="b">
        <v>0</v>
      </c>
      <c r="P190" s="14" t="s">
        <v>87</v>
      </c>
      <c r="Q190" s="49" t="b">
        <v>1</v>
      </c>
      <c r="R190" s="49" t="b">
        <v>0</v>
      </c>
      <c r="S190" s="15" t="b">
        <v>0</v>
      </c>
      <c r="T190" s="15" t="b">
        <v>0</v>
      </c>
      <c r="W190" s="14" t="s">
        <v>381</v>
      </c>
    </row>
    <row r="191" ht="17.25" customHeight="1">
      <c r="A191" s="51" t="s">
        <v>382</v>
      </c>
      <c r="B191" s="51" t="s">
        <v>80</v>
      </c>
      <c r="C191" s="51" t="s">
        <v>73</v>
      </c>
      <c r="D191" s="48" t="s">
        <v>74</v>
      </c>
      <c r="E191" s="47" t="s">
        <v>82</v>
      </c>
      <c r="F191" s="48" t="s">
        <v>76</v>
      </c>
      <c r="G191" s="48" t="s">
        <v>338</v>
      </c>
      <c r="H191" s="52" t="b">
        <v>0</v>
      </c>
      <c r="I191" s="52" t="b">
        <v>0</v>
      </c>
      <c r="J191" s="52"/>
      <c r="K191" s="52" t="b">
        <v>0</v>
      </c>
      <c r="L191" s="52" t="b">
        <v>0</v>
      </c>
      <c r="M191" s="52" t="b">
        <v>0</v>
      </c>
      <c r="N191" s="52" t="b">
        <v>0</v>
      </c>
      <c r="O191" s="52" t="b">
        <v>0</v>
      </c>
      <c r="P191" s="48" t="s">
        <v>87</v>
      </c>
      <c r="Q191" s="52" t="b">
        <v>0</v>
      </c>
      <c r="R191" s="52" t="b">
        <v>0</v>
      </c>
      <c r="S191" s="52" t="b">
        <v>0</v>
      </c>
      <c r="T191" s="52" t="b">
        <v>0</v>
      </c>
      <c r="U191" s="47"/>
      <c r="V191" s="47"/>
      <c r="W191" s="47"/>
    </row>
    <row r="192" ht="17.25" customHeight="1">
      <c r="A192" s="47" t="s">
        <v>383</v>
      </c>
      <c r="B192" s="48" t="s">
        <v>72</v>
      </c>
      <c r="C192" s="47" t="s">
        <v>103</v>
      </c>
      <c r="D192" s="47" t="s">
        <v>142</v>
      </c>
      <c r="E192" s="47" t="s">
        <v>75</v>
      </c>
      <c r="F192" s="47" t="s">
        <v>86</v>
      </c>
      <c r="G192" s="47" t="s">
        <v>21</v>
      </c>
      <c r="H192" s="49" t="b">
        <v>0</v>
      </c>
      <c r="I192" s="49" t="b">
        <v>0</v>
      </c>
      <c r="J192" s="49"/>
      <c r="K192" s="49" t="b">
        <v>0</v>
      </c>
      <c r="L192" s="49" t="b">
        <v>0</v>
      </c>
      <c r="M192" s="49" t="b">
        <v>0</v>
      </c>
      <c r="N192" s="49" t="b">
        <v>0</v>
      </c>
      <c r="O192" s="49" t="b">
        <v>0</v>
      </c>
      <c r="P192" s="57"/>
      <c r="Q192" s="49" t="b">
        <v>1</v>
      </c>
      <c r="R192" s="49" t="b">
        <v>1</v>
      </c>
      <c r="S192" s="15" t="b">
        <v>0</v>
      </c>
      <c r="T192" s="15" t="b">
        <v>0</v>
      </c>
    </row>
    <row r="193" ht="17.25" customHeight="1">
      <c r="A193" s="58" t="s">
        <v>384</v>
      </c>
      <c r="B193" s="48" t="s">
        <v>72</v>
      </c>
      <c r="C193" s="47" t="s">
        <v>84</v>
      </c>
      <c r="D193" s="47" t="s">
        <v>85</v>
      </c>
      <c r="E193" s="47" t="s">
        <v>75</v>
      </c>
      <c r="F193" s="47" t="s">
        <v>86</v>
      </c>
      <c r="G193" s="47" t="s">
        <v>16</v>
      </c>
      <c r="H193" s="49" t="b">
        <v>0</v>
      </c>
      <c r="I193" s="49" t="b">
        <v>0</v>
      </c>
      <c r="J193" s="49"/>
      <c r="K193" s="49" t="b">
        <v>0</v>
      </c>
      <c r="L193" s="49" t="b">
        <v>0</v>
      </c>
      <c r="M193" s="49" t="b">
        <v>0</v>
      </c>
      <c r="N193" s="49" t="b">
        <v>0</v>
      </c>
      <c r="O193" s="49" t="b">
        <v>0</v>
      </c>
      <c r="P193" s="14" t="s">
        <v>23</v>
      </c>
      <c r="Q193" s="49" t="b">
        <v>1</v>
      </c>
      <c r="R193" s="49" t="b">
        <v>0</v>
      </c>
      <c r="S193" s="15" t="b">
        <v>0</v>
      </c>
      <c r="T193" s="15" t="b">
        <v>0</v>
      </c>
    </row>
    <row r="194" ht="17.25" customHeight="1">
      <c r="A194" s="47" t="s">
        <v>385</v>
      </c>
      <c r="B194" s="48" t="s">
        <v>109</v>
      </c>
      <c r="C194" s="47" t="s">
        <v>110</v>
      </c>
      <c r="D194" s="47" t="s">
        <v>90</v>
      </c>
      <c r="E194" s="47" t="s">
        <v>75</v>
      </c>
      <c r="F194" s="47" t="s">
        <v>86</v>
      </c>
      <c r="G194" s="47" t="s">
        <v>8</v>
      </c>
      <c r="H194" s="49" t="b">
        <v>0</v>
      </c>
      <c r="I194" s="49" t="b">
        <v>0</v>
      </c>
      <c r="J194" s="49" t="b">
        <v>0</v>
      </c>
      <c r="K194" s="49" t="b">
        <v>0</v>
      </c>
      <c r="L194" s="49" t="b">
        <v>0</v>
      </c>
      <c r="M194" s="49" t="b">
        <v>0</v>
      </c>
      <c r="N194" s="49" t="b">
        <v>0</v>
      </c>
      <c r="O194" s="49" t="b">
        <v>0</v>
      </c>
      <c r="P194" s="14" t="s">
        <v>87</v>
      </c>
      <c r="Q194" s="49" t="b">
        <v>1</v>
      </c>
      <c r="R194" s="49" t="b">
        <v>1</v>
      </c>
      <c r="S194" s="15" t="b">
        <v>0</v>
      </c>
      <c r="T194" s="15" t="b">
        <v>0</v>
      </c>
      <c r="X194" s="47"/>
      <c r="Y194" s="47"/>
      <c r="Z194" s="47"/>
      <c r="AA194" s="47"/>
      <c r="AB194" s="47"/>
      <c r="AC194" s="47"/>
      <c r="AD194" s="47"/>
      <c r="AE194" s="47"/>
      <c r="AF194" s="47"/>
      <c r="AG194" s="47"/>
      <c r="AH194" s="47"/>
      <c r="AI194" s="47"/>
      <c r="AJ194" s="47"/>
      <c r="AK194" s="47"/>
    </row>
    <row r="195" ht="17.25" customHeight="1">
      <c r="A195" s="47" t="s">
        <v>386</v>
      </c>
      <c r="B195" s="48" t="s">
        <v>80</v>
      </c>
      <c r="C195" s="47" t="s">
        <v>84</v>
      </c>
      <c r="D195" s="47" t="s">
        <v>122</v>
      </c>
      <c r="E195" s="47" t="s">
        <v>82</v>
      </c>
      <c r="F195" s="47" t="s">
        <v>86</v>
      </c>
      <c r="G195" s="47" t="s">
        <v>15</v>
      </c>
      <c r="H195" s="49" t="b">
        <v>0</v>
      </c>
      <c r="I195" s="49" t="b">
        <v>1</v>
      </c>
      <c r="J195" s="49" t="s">
        <v>248</v>
      </c>
      <c r="K195" s="49" t="b">
        <v>0</v>
      </c>
      <c r="L195" s="49" t="b">
        <v>0</v>
      </c>
      <c r="M195" s="49" t="b">
        <v>0</v>
      </c>
      <c r="N195" s="49" t="b">
        <v>0</v>
      </c>
      <c r="O195" s="49" t="b">
        <v>0</v>
      </c>
      <c r="P195" s="14" t="s">
        <v>87</v>
      </c>
      <c r="Q195" s="49" t="b">
        <v>0</v>
      </c>
      <c r="R195" s="49" t="b">
        <v>0</v>
      </c>
      <c r="S195" s="15" t="b">
        <v>0</v>
      </c>
      <c r="T195" s="15" t="b">
        <v>0</v>
      </c>
      <c r="U195" s="47" t="s">
        <v>215</v>
      </c>
      <c r="V195" s="47"/>
      <c r="W195" s="47" t="s">
        <v>387</v>
      </c>
    </row>
    <row r="196" ht="17.25" customHeight="1">
      <c r="A196" s="47" t="s">
        <v>388</v>
      </c>
      <c r="B196" s="48" t="s">
        <v>109</v>
      </c>
      <c r="C196" s="47" t="s">
        <v>110</v>
      </c>
      <c r="D196" s="47" t="s">
        <v>74</v>
      </c>
      <c r="E196" s="47" t="s">
        <v>75</v>
      </c>
      <c r="F196" s="47" t="s">
        <v>76</v>
      </c>
      <c r="G196" s="47" t="s">
        <v>8</v>
      </c>
      <c r="H196" s="49" t="b">
        <v>0</v>
      </c>
      <c r="I196" s="49" t="b">
        <v>0</v>
      </c>
      <c r="J196" s="49" t="s">
        <v>214</v>
      </c>
      <c r="K196" s="49" t="b">
        <v>0</v>
      </c>
      <c r="L196" s="49" t="b">
        <v>0</v>
      </c>
      <c r="M196" s="49" t="b">
        <v>1</v>
      </c>
      <c r="N196" s="49" t="b">
        <v>0</v>
      </c>
      <c r="O196" s="49" t="b">
        <v>0</v>
      </c>
      <c r="P196" s="14" t="s">
        <v>23</v>
      </c>
      <c r="Q196" s="49" t="b">
        <v>1</v>
      </c>
      <c r="R196" s="49" t="b">
        <v>1</v>
      </c>
      <c r="S196" s="15" t="b">
        <v>0</v>
      </c>
      <c r="T196" s="15" t="b">
        <v>0</v>
      </c>
      <c r="U196" s="14" t="s">
        <v>215</v>
      </c>
    </row>
    <row r="197" ht="17.25" customHeight="1">
      <c r="A197" s="47" t="s">
        <v>389</v>
      </c>
      <c r="B197" s="48" t="s">
        <v>390</v>
      </c>
      <c r="C197" s="47" t="s">
        <v>84</v>
      </c>
      <c r="D197" s="47" t="s">
        <v>174</v>
      </c>
      <c r="E197" s="47" t="s">
        <v>101</v>
      </c>
      <c r="F197" s="47" t="s">
        <v>86</v>
      </c>
      <c r="G197" s="47" t="s">
        <v>16</v>
      </c>
      <c r="H197" s="49" t="b">
        <v>0</v>
      </c>
      <c r="I197" s="49" t="b">
        <v>0</v>
      </c>
      <c r="J197" s="49"/>
      <c r="K197" s="49" t="b">
        <v>0</v>
      </c>
      <c r="L197" s="49" t="b">
        <v>0</v>
      </c>
      <c r="M197" s="49" t="b">
        <v>0</v>
      </c>
      <c r="N197" s="49" t="b">
        <v>0</v>
      </c>
      <c r="O197" s="49" t="b">
        <v>0</v>
      </c>
      <c r="P197" s="14" t="s">
        <v>113</v>
      </c>
      <c r="Q197" s="49" t="b">
        <v>0</v>
      </c>
      <c r="R197" s="49" t="b">
        <v>0</v>
      </c>
      <c r="S197" s="47"/>
      <c r="T197" s="47"/>
      <c r="U197" s="47"/>
      <c r="V197" s="47"/>
      <c r="W197" s="47"/>
    </row>
    <row r="198" ht="17.25" customHeight="1">
      <c r="A198" s="47" t="s">
        <v>391</v>
      </c>
      <c r="B198" s="48" t="s">
        <v>103</v>
      </c>
      <c r="C198" s="48" t="s">
        <v>103</v>
      </c>
      <c r="D198" s="47" t="s">
        <v>142</v>
      </c>
      <c r="E198" s="47" t="s">
        <v>75</v>
      </c>
      <c r="F198" s="47" t="s">
        <v>86</v>
      </c>
      <c r="G198" s="47" t="s">
        <v>21</v>
      </c>
      <c r="H198" s="49" t="b">
        <v>0</v>
      </c>
      <c r="I198" s="49" t="b">
        <v>0</v>
      </c>
      <c r="J198" s="49"/>
      <c r="K198" s="49" t="b">
        <v>0</v>
      </c>
      <c r="L198" s="49" t="b">
        <v>0</v>
      </c>
      <c r="M198" s="49" t="b">
        <v>0</v>
      </c>
      <c r="N198" s="49" t="b">
        <v>0</v>
      </c>
      <c r="O198" s="49" t="b">
        <v>0</v>
      </c>
      <c r="P198" s="57"/>
      <c r="Q198" s="49" t="b">
        <v>0</v>
      </c>
      <c r="R198" s="49" t="b">
        <v>0</v>
      </c>
      <c r="S198" s="15" t="b">
        <v>0</v>
      </c>
      <c r="T198" s="15" t="b">
        <v>0</v>
      </c>
    </row>
    <row r="199" ht="17.25" customHeight="1">
      <c r="A199" s="47" t="s">
        <v>392</v>
      </c>
      <c r="B199" s="48" t="s">
        <v>103</v>
      </c>
      <c r="C199" s="48" t="s">
        <v>103</v>
      </c>
      <c r="D199" s="47" t="s">
        <v>74</v>
      </c>
      <c r="E199" s="47" t="s">
        <v>101</v>
      </c>
      <c r="F199" s="47" t="s">
        <v>86</v>
      </c>
      <c r="G199" s="47" t="s">
        <v>11</v>
      </c>
      <c r="H199" s="49" t="b">
        <v>1</v>
      </c>
      <c r="I199" s="49" t="b">
        <v>0</v>
      </c>
      <c r="J199" s="49" t="b">
        <v>0</v>
      </c>
      <c r="K199" s="49" t="b">
        <v>0</v>
      </c>
      <c r="L199" s="49" t="b">
        <v>0</v>
      </c>
      <c r="M199" s="49" t="b">
        <v>0</v>
      </c>
      <c r="N199" s="49" t="b">
        <v>0</v>
      </c>
      <c r="O199" s="49" t="b">
        <v>0</v>
      </c>
      <c r="P199" s="14" t="s">
        <v>138</v>
      </c>
      <c r="Q199" s="49" t="b">
        <v>0</v>
      </c>
      <c r="R199" s="49" t="b">
        <v>0</v>
      </c>
      <c r="S199" s="15" t="b">
        <v>0</v>
      </c>
      <c r="T199" s="15" t="b">
        <v>0</v>
      </c>
    </row>
    <row r="200" ht="17.25" customHeight="1">
      <c r="A200" s="14" t="s">
        <v>393</v>
      </c>
      <c r="B200" s="48" t="s">
        <v>317</v>
      </c>
      <c r="C200" s="14" t="s">
        <v>110</v>
      </c>
      <c r="D200" s="47" t="s">
        <v>74</v>
      </c>
      <c r="E200" s="47" t="s">
        <v>75</v>
      </c>
      <c r="F200" s="47" t="s">
        <v>76</v>
      </c>
      <c r="G200" s="47" t="s">
        <v>8</v>
      </c>
      <c r="H200" s="49" t="b">
        <v>0</v>
      </c>
      <c r="I200" s="49" t="b">
        <v>0</v>
      </c>
      <c r="J200" s="49"/>
      <c r="K200" s="49" t="b">
        <v>1</v>
      </c>
      <c r="L200" s="49" t="b">
        <v>1</v>
      </c>
      <c r="M200" s="49" t="b">
        <v>1</v>
      </c>
      <c r="N200" s="49" t="b">
        <v>0</v>
      </c>
      <c r="O200" s="49" t="b">
        <v>0</v>
      </c>
      <c r="P200" s="14" t="s">
        <v>23</v>
      </c>
      <c r="Q200" s="49" t="b">
        <v>1</v>
      </c>
      <c r="R200" s="49" t="b">
        <v>0</v>
      </c>
      <c r="S200" s="15" t="b">
        <v>0</v>
      </c>
      <c r="T200" s="14" t="b">
        <v>0</v>
      </c>
    </row>
    <row r="201" ht="17.25" customHeight="1">
      <c r="A201" s="53" t="s">
        <v>394</v>
      </c>
      <c r="B201" s="48" t="s">
        <v>80</v>
      </c>
      <c r="C201" s="47" t="s">
        <v>95</v>
      </c>
      <c r="D201" s="47" t="s">
        <v>85</v>
      </c>
      <c r="E201" s="47" t="s">
        <v>82</v>
      </c>
      <c r="F201" s="47" t="s">
        <v>86</v>
      </c>
      <c r="G201" s="47" t="s">
        <v>11</v>
      </c>
      <c r="H201" s="49" t="b">
        <v>0</v>
      </c>
      <c r="I201" s="49" t="b">
        <v>0</v>
      </c>
      <c r="J201" s="49" t="b">
        <v>0</v>
      </c>
      <c r="K201" s="49" t="b">
        <v>1</v>
      </c>
      <c r="L201" s="49" t="b">
        <v>1</v>
      </c>
      <c r="M201" s="49" t="b">
        <v>0</v>
      </c>
      <c r="N201" s="49" t="b">
        <v>0</v>
      </c>
      <c r="O201" s="49" t="b">
        <v>0</v>
      </c>
      <c r="P201" s="14" t="s">
        <v>87</v>
      </c>
      <c r="Q201" s="49" t="b">
        <v>1</v>
      </c>
      <c r="R201" s="49" t="b">
        <v>1</v>
      </c>
      <c r="S201" s="15" t="b">
        <v>0</v>
      </c>
      <c r="T201" s="15" t="b">
        <v>0</v>
      </c>
    </row>
    <row r="202" ht="17.25" customHeight="1">
      <c r="A202" s="50" t="s">
        <v>395</v>
      </c>
      <c r="B202" s="48" t="s">
        <v>80</v>
      </c>
      <c r="C202" s="48" t="s">
        <v>72</v>
      </c>
      <c r="D202" s="47" t="s">
        <v>90</v>
      </c>
      <c r="E202" s="47" t="s">
        <v>82</v>
      </c>
      <c r="F202" s="47" t="s">
        <v>86</v>
      </c>
      <c r="G202" s="47" t="s">
        <v>21</v>
      </c>
      <c r="H202" s="49" t="b">
        <v>0</v>
      </c>
      <c r="I202" s="49" t="b">
        <v>0</v>
      </c>
      <c r="J202" s="49"/>
      <c r="K202" s="49" t="b">
        <v>0</v>
      </c>
      <c r="L202" s="49" t="b">
        <v>0</v>
      </c>
      <c r="M202" s="49" t="b">
        <v>0</v>
      </c>
      <c r="N202" s="49" t="b">
        <v>0</v>
      </c>
      <c r="O202" s="49" t="b">
        <v>0</v>
      </c>
      <c r="P202" s="14" t="s">
        <v>23</v>
      </c>
      <c r="Q202" s="49" t="b">
        <v>0</v>
      </c>
      <c r="R202" s="49" t="b">
        <v>0</v>
      </c>
      <c r="S202" s="15" t="b">
        <v>0</v>
      </c>
      <c r="T202" s="14" t="b">
        <v>1</v>
      </c>
      <c r="U202" s="47"/>
      <c r="V202" s="47"/>
      <c r="W202" s="47"/>
    </row>
    <row r="203" ht="17.25" customHeight="1">
      <c r="A203" s="72" t="s">
        <v>396</v>
      </c>
      <c r="B203" s="68" t="s">
        <v>80</v>
      </c>
      <c r="C203" s="68" t="s">
        <v>73</v>
      </c>
      <c r="D203" s="67" t="s">
        <v>100</v>
      </c>
      <c r="E203" s="67" t="s">
        <v>82</v>
      </c>
      <c r="F203" s="67" t="s">
        <v>76</v>
      </c>
      <c r="G203" s="67" t="s">
        <v>16</v>
      </c>
      <c r="H203" s="69" t="b">
        <v>0</v>
      </c>
      <c r="I203" s="69" t="b">
        <v>0</v>
      </c>
      <c r="J203" s="69"/>
      <c r="K203" s="69" t="b">
        <v>0</v>
      </c>
      <c r="L203" s="69" t="b">
        <v>0</v>
      </c>
      <c r="M203" s="69" t="b">
        <v>0</v>
      </c>
      <c r="N203" s="69" t="b">
        <v>0</v>
      </c>
      <c r="O203" s="69" t="b">
        <v>0</v>
      </c>
      <c r="P203" s="70" t="s">
        <v>87</v>
      </c>
      <c r="Q203" s="69" t="b">
        <v>0</v>
      </c>
      <c r="R203" s="69" t="b">
        <v>0</v>
      </c>
      <c r="S203" s="61" t="b">
        <v>0</v>
      </c>
      <c r="T203" s="61" t="b">
        <v>0</v>
      </c>
      <c r="U203" s="61"/>
      <c r="V203" s="61"/>
      <c r="W203" s="70"/>
    </row>
    <row r="204" ht="17.25" customHeight="1">
      <c r="A204" s="47" t="s">
        <v>397</v>
      </c>
      <c r="B204" s="48" t="s">
        <v>103</v>
      </c>
      <c r="C204" s="48" t="s">
        <v>103</v>
      </c>
      <c r="D204" s="47" t="s">
        <v>100</v>
      </c>
      <c r="E204" s="47" t="s">
        <v>82</v>
      </c>
      <c r="F204" s="47" t="s">
        <v>76</v>
      </c>
      <c r="G204" s="47" t="s">
        <v>10</v>
      </c>
      <c r="H204" s="49" t="b">
        <v>1</v>
      </c>
      <c r="I204" s="49" t="b">
        <v>1</v>
      </c>
      <c r="J204" s="49" t="b">
        <v>0</v>
      </c>
      <c r="K204" s="49" t="b">
        <v>1</v>
      </c>
      <c r="L204" s="49" t="b">
        <v>1</v>
      </c>
      <c r="M204" s="49" t="b">
        <v>0</v>
      </c>
      <c r="N204" s="49" t="b">
        <v>0</v>
      </c>
      <c r="O204" s="49" t="b">
        <v>0</v>
      </c>
      <c r="P204" s="14" t="s">
        <v>78</v>
      </c>
      <c r="Q204" s="49" t="b">
        <v>1</v>
      </c>
      <c r="R204" s="49" t="b">
        <v>1</v>
      </c>
      <c r="S204" s="15" t="b">
        <v>0</v>
      </c>
      <c r="T204" s="15" t="b">
        <v>0</v>
      </c>
      <c r="V204" s="14" t="s">
        <v>106</v>
      </c>
    </row>
    <row r="205" ht="17.25" customHeight="1">
      <c r="A205" s="47" t="s">
        <v>398</v>
      </c>
      <c r="B205" s="48" t="s">
        <v>103</v>
      </c>
      <c r="C205" s="48" t="s">
        <v>103</v>
      </c>
      <c r="D205" s="47" t="s">
        <v>142</v>
      </c>
      <c r="E205" s="47" t="s">
        <v>75</v>
      </c>
      <c r="F205" s="47" t="s">
        <v>86</v>
      </c>
      <c r="G205" s="47" t="s">
        <v>21</v>
      </c>
      <c r="H205" s="49" t="b">
        <v>0</v>
      </c>
      <c r="I205" s="49" t="b">
        <v>0</v>
      </c>
      <c r="J205" s="49"/>
      <c r="K205" s="49" t="b">
        <v>0</v>
      </c>
      <c r="L205" s="49" t="b">
        <v>0</v>
      </c>
      <c r="M205" s="49" t="b">
        <v>0</v>
      </c>
      <c r="N205" s="49" t="b">
        <v>0</v>
      </c>
      <c r="O205" s="49" t="b">
        <v>0</v>
      </c>
      <c r="P205" s="57"/>
      <c r="Q205" s="49" t="b">
        <v>1</v>
      </c>
      <c r="R205" s="49" t="b">
        <v>0</v>
      </c>
      <c r="S205" s="15" t="b">
        <v>0</v>
      </c>
      <c r="T205" s="15" t="b">
        <v>0</v>
      </c>
      <c r="V205" s="14" t="s">
        <v>106</v>
      </c>
    </row>
    <row r="206" ht="17.25" customHeight="1">
      <c r="A206" s="53" t="s">
        <v>399</v>
      </c>
      <c r="B206" s="48" t="s">
        <v>94</v>
      </c>
      <c r="C206" s="47" t="s">
        <v>95</v>
      </c>
      <c r="D206" s="47" t="s">
        <v>122</v>
      </c>
      <c r="E206" s="47" t="s">
        <v>75</v>
      </c>
      <c r="F206" s="47" t="s">
        <v>86</v>
      </c>
      <c r="G206" s="47" t="s">
        <v>11</v>
      </c>
      <c r="H206" s="49" t="b">
        <v>1</v>
      </c>
      <c r="I206" s="49" t="b">
        <v>0</v>
      </c>
      <c r="J206" s="49"/>
      <c r="K206" s="49" t="b">
        <v>1</v>
      </c>
      <c r="L206" s="49" t="b">
        <v>1</v>
      </c>
      <c r="M206" s="49" t="b">
        <v>0</v>
      </c>
      <c r="N206" s="49" t="b">
        <v>0</v>
      </c>
      <c r="O206" s="49" t="b">
        <v>0</v>
      </c>
      <c r="P206" s="14" t="s">
        <v>113</v>
      </c>
      <c r="Q206" s="49" t="b">
        <v>1</v>
      </c>
      <c r="R206" s="49" t="b">
        <v>1</v>
      </c>
      <c r="S206" s="15" t="b">
        <v>0</v>
      </c>
      <c r="T206" s="15" t="b">
        <v>0</v>
      </c>
      <c r="V206" s="14" t="s">
        <v>106</v>
      </c>
      <c r="W206" s="14" t="s">
        <v>400</v>
      </c>
    </row>
    <row r="207" ht="17.25" customHeight="1">
      <c r="A207" s="14" t="s">
        <v>401</v>
      </c>
      <c r="B207" s="48" t="s">
        <v>288</v>
      </c>
      <c r="C207" s="47" t="s">
        <v>84</v>
      </c>
      <c r="D207" s="47" t="s">
        <v>142</v>
      </c>
      <c r="E207" s="47" t="s">
        <v>82</v>
      </c>
      <c r="F207" s="47" t="s">
        <v>86</v>
      </c>
      <c r="G207" s="47" t="s">
        <v>15</v>
      </c>
      <c r="H207" s="49" t="b">
        <v>0</v>
      </c>
      <c r="I207" s="49" t="b">
        <v>1</v>
      </c>
      <c r="J207" s="49" t="s">
        <v>242</v>
      </c>
      <c r="K207" s="49" t="b">
        <v>0</v>
      </c>
      <c r="L207" s="49" t="b">
        <v>0</v>
      </c>
      <c r="M207" s="49" t="b">
        <v>0</v>
      </c>
      <c r="N207" s="49" t="b">
        <v>0</v>
      </c>
      <c r="O207" s="49" t="b">
        <v>0</v>
      </c>
      <c r="P207" s="14" t="s">
        <v>87</v>
      </c>
      <c r="Q207" s="49" t="b">
        <v>0</v>
      </c>
      <c r="R207" s="49" t="b">
        <v>0</v>
      </c>
      <c r="S207" s="14" t="b">
        <v>0</v>
      </c>
      <c r="T207" s="14" t="b">
        <v>0</v>
      </c>
      <c r="U207" s="47" t="s">
        <v>215</v>
      </c>
      <c r="V207" s="47"/>
      <c r="W207" s="14" t="s">
        <v>402</v>
      </c>
      <c r="X207" s="47"/>
      <c r="Y207" s="47"/>
      <c r="Z207" s="47"/>
      <c r="AA207" s="47"/>
      <c r="AB207" s="47"/>
      <c r="AC207" s="47"/>
      <c r="AD207" s="47"/>
      <c r="AE207" s="47"/>
      <c r="AF207" s="47"/>
      <c r="AG207" s="47"/>
      <c r="AH207" s="47"/>
      <c r="AI207" s="47"/>
      <c r="AJ207" s="47"/>
      <c r="AK207" s="47"/>
    </row>
    <row r="208" ht="17.25" customHeight="1">
      <c r="A208" s="47" t="s">
        <v>403</v>
      </c>
      <c r="B208" s="73" t="s">
        <v>80</v>
      </c>
      <c r="C208" s="74" t="s">
        <v>95</v>
      </c>
      <c r="D208" s="47" t="s">
        <v>90</v>
      </c>
      <c r="E208" s="47" t="s">
        <v>137</v>
      </c>
      <c r="F208" s="47" t="s">
        <v>86</v>
      </c>
      <c r="G208" s="47" t="s">
        <v>16</v>
      </c>
      <c r="H208" s="49" t="b">
        <v>0</v>
      </c>
      <c r="I208" s="49" t="b">
        <v>0</v>
      </c>
      <c r="J208" s="47"/>
      <c r="K208" s="49" t="b">
        <v>0</v>
      </c>
      <c r="L208" s="49" t="b">
        <v>0</v>
      </c>
      <c r="M208" s="49" t="b">
        <v>0</v>
      </c>
      <c r="N208" s="49" t="b">
        <v>0</v>
      </c>
      <c r="O208" s="49" t="b">
        <v>0</v>
      </c>
      <c r="P208" s="14" t="s">
        <v>138</v>
      </c>
      <c r="Q208" s="49" t="b">
        <v>0</v>
      </c>
      <c r="R208" s="49" t="b">
        <v>0</v>
      </c>
      <c r="S208" s="15" t="b">
        <v>0</v>
      </c>
      <c r="T208" s="15" t="b">
        <v>0</v>
      </c>
      <c r="U208" s="47"/>
      <c r="V208" s="47"/>
      <c r="W208" s="47"/>
      <c r="X208" s="47"/>
      <c r="Y208" s="47"/>
      <c r="Z208" s="47"/>
      <c r="AA208" s="47"/>
      <c r="AB208" s="47"/>
      <c r="AC208" s="47"/>
      <c r="AD208" s="47"/>
      <c r="AE208" s="47"/>
      <c r="AF208" s="47"/>
      <c r="AG208" s="47"/>
      <c r="AH208" s="47"/>
      <c r="AI208" s="47"/>
      <c r="AJ208" s="47"/>
      <c r="AK208" s="47"/>
    </row>
    <row r="209" ht="17.25" customHeight="1">
      <c r="A209" s="75" t="s">
        <v>404</v>
      </c>
      <c r="B209" s="68" t="s">
        <v>72</v>
      </c>
      <c r="C209" s="68" t="s">
        <v>73</v>
      </c>
      <c r="D209" s="67" t="s">
        <v>90</v>
      </c>
      <c r="E209" s="67" t="s">
        <v>75</v>
      </c>
      <c r="F209" s="67" t="s">
        <v>86</v>
      </c>
      <c r="G209" s="67" t="s">
        <v>338</v>
      </c>
      <c r="H209" s="69" t="b">
        <v>0</v>
      </c>
      <c r="I209" s="69" t="b">
        <v>0</v>
      </c>
      <c r="J209" s="69"/>
      <c r="K209" s="69" t="b">
        <v>0</v>
      </c>
      <c r="L209" s="69" t="b">
        <v>0</v>
      </c>
      <c r="M209" s="69" t="b">
        <v>0</v>
      </c>
      <c r="N209" s="69" t="b">
        <v>0</v>
      </c>
      <c r="O209" s="69" t="b">
        <v>0</v>
      </c>
      <c r="P209" s="70" t="s">
        <v>78</v>
      </c>
      <c r="Q209" s="69" t="b">
        <v>0</v>
      </c>
      <c r="R209" s="69" t="b">
        <v>0</v>
      </c>
      <c r="S209" s="61" t="b">
        <v>0</v>
      </c>
      <c r="T209" s="61" t="b">
        <v>0</v>
      </c>
      <c r="U209" s="61"/>
      <c r="V209" s="61"/>
      <c r="W209" s="70"/>
      <c r="X209" s="47"/>
      <c r="Y209" s="47"/>
      <c r="Z209" s="47"/>
      <c r="AA209" s="47"/>
      <c r="AB209" s="47"/>
      <c r="AC209" s="47"/>
      <c r="AD209" s="47"/>
      <c r="AE209" s="47"/>
      <c r="AF209" s="47"/>
      <c r="AG209" s="47"/>
      <c r="AH209" s="47"/>
      <c r="AI209" s="47"/>
      <c r="AJ209" s="47"/>
      <c r="AK209" s="47"/>
    </row>
    <row r="210" ht="17.25" customHeight="1">
      <c r="A210" s="58" t="s">
        <v>405</v>
      </c>
      <c r="B210" s="48" t="s">
        <v>317</v>
      </c>
      <c r="C210" s="48" t="s">
        <v>110</v>
      </c>
      <c r="D210" s="47" t="s">
        <v>74</v>
      </c>
      <c r="E210" s="47" t="s">
        <v>75</v>
      </c>
      <c r="F210" s="47" t="s">
        <v>76</v>
      </c>
      <c r="G210" s="47" t="s">
        <v>8</v>
      </c>
      <c r="H210" s="49" t="b">
        <v>1</v>
      </c>
      <c r="I210" s="49" t="b">
        <v>0</v>
      </c>
      <c r="J210" s="49"/>
      <c r="K210" s="49" t="b">
        <v>0</v>
      </c>
      <c r="L210" s="49" t="b">
        <v>0</v>
      </c>
      <c r="M210" s="49" t="b">
        <v>0</v>
      </c>
      <c r="N210" s="49" t="b">
        <v>0</v>
      </c>
      <c r="O210" s="49" t="b">
        <v>0</v>
      </c>
      <c r="P210" s="14" t="s">
        <v>78</v>
      </c>
      <c r="Q210" s="49" t="b">
        <v>0</v>
      </c>
      <c r="R210" s="49" t="b">
        <v>0</v>
      </c>
      <c r="S210" s="15" t="b">
        <v>0</v>
      </c>
      <c r="T210" s="15" t="b">
        <v>0</v>
      </c>
      <c r="W210" s="14"/>
    </row>
    <row r="211" ht="17.25" customHeight="1">
      <c r="A211" s="50" t="s">
        <v>406</v>
      </c>
      <c r="B211" s="48" t="s">
        <v>72</v>
      </c>
      <c r="C211" s="48" t="s">
        <v>72</v>
      </c>
      <c r="D211" s="47" t="s">
        <v>74</v>
      </c>
      <c r="E211" s="47" t="s">
        <v>96</v>
      </c>
      <c r="F211" s="47" t="s">
        <v>76</v>
      </c>
      <c r="G211" s="47" t="s">
        <v>16</v>
      </c>
      <c r="H211" s="49" t="b">
        <v>0</v>
      </c>
      <c r="I211" s="49" t="b">
        <v>0</v>
      </c>
      <c r="J211" s="49" t="b">
        <v>0</v>
      </c>
      <c r="K211" s="49" t="b">
        <v>0</v>
      </c>
      <c r="L211" s="49" t="b">
        <v>0</v>
      </c>
      <c r="M211" s="49" t="b">
        <v>1</v>
      </c>
      <c r="N211" s="49" t="b">
        <v>0</v>
      </c>
      <c r="O211" s="49" t="b">
        <v>1</v>
      </c>
      <c r="P211" s="14" t="s">
        <v>134</v>
      </c>
      <c r="Q211" s="49" t="b">
        <v>0</v>
      </c>
      <c r="R211" s="49" t="b">
        <v>1</v>
      </c>
      <c r="S211" s="15" t="b">
        <v>0</v>
      </c>
      <c r="T211" s="15" t="b">
        <v>0</v>
      </c>
      <c r="W211" s="14" t="s">
        <v>356</v>
      </c>
    </row>
    <row r="212" ht="17.25" customHeight="1">
      <c r="A212" s="76" t="s">
        <v>407</v>
      </c>
      <c r="B212" s="48" t="s">
        <v>72</v>
      </c>
      <c r="C212" s="47" t="s">
        <v>72</v>
      </c>
      <c r="D212" s="47" t="s">
        <v>142</v>
      </c>
      <c r="E212" s="47" t="s">
        <v>75</v>
      </c>
      <c r="F212" s="47" t="s">
        <v>86</v>
      </c>
      <c r="G212" s="47" t="s">
        <v>21</v>
      </c>
      <c r="H212" s="49" t="b">
        <v>0</v>
      </c>
      <c r="I212" s="49" t="b">
        <v>0</v>
      </c>
      <c r="J212" s="49"/>
      <c r="K212" s="49" t="b">
        <v>0</v>
      </c>
      <c r="L212" s="49" t="b">
        <v>0</v>
      </c>
      <c r="M212" s="49" t="b">
        <v>0</v>
      </c>
      <c r="N212" s="49" t="b">
        <v>0</v>
      </c>
      <c r="O212" s="49" t="b">
        <v>0</v>
      </c>
      <c r="P212" s="57"/>
      <c r="Q212" s="49" t="b">
        <v>1</v>
      </c>
      <c r="R212" s="49" t="b">
        <v>0</v>
      </c>
      <c r="V212" s="14" t="s">
        <v>106</v>
      </c>
    </row>
    <row r="213" ht="17.25" customHeight="1">
      <c r="A213" s="47" t="s">
        <v>408</v>
      </c>
      <c r="B213" s="48" t="s">
        <v>99</v>
      </c>
      <c r="C213" s="48" t="s">
        <v>95</v>
      </c>
      <c r="D213" s="47" t="s">
        <v>122</v>
      </c>
      <c r="E213" s="47" t="s">
        <v>101</v>
      </c>
      <c r="F213" s="47" t="s">
        <v>86</v>
      </c>
      <c r="G213" s="47" t="s">
        <v>11</v>
      </c>
      <c r="H213" s="49" t="b">
        <v>0</v>
      </c>
      <c r="I213" s="49" t="b">
        <v>0</v>
      </c>
      <c r="J213" s="49"/>
      <c r="K213" s="49" t="b">
        <v>0</v>
      </c>
      <c r="L213" s="49" t="b">
        <v>0</v>
      </c>
      <c r="M213" s="49" t="b">
        <v>0</v>
      </c>
      <c r="N213" s="49" t="b">
        <v>0</v>
      </c>
      <c r="O213" s="49" t="b">
        <v>0</v>
      </c>
      <c r="P213" s="14" t="s">
        <v>23</v>
      </c>
      <c r="Q213" s="49" t="b">
        <v>0</v>
      </c>
      <c r="R213" s="49" t="b">
        <v>0</v>
      </c>
      <c r="S213" s="15" t="b">
        <v>0</v>
      </c>
      <c r="T213" s="15" t="b">
        <v>0</v>
      </c>
      <c r="V213" s="14"/>
    </row>
    <row r="214" ht="17.25" customHeight="1">
      <c r="A214" s="47" t="s">
        <v>409</v>
      </c>
      <c r="B214" s="48" t="s">
        <v>80</v>
      </c>
      <c r="C214" s="47" t="s">
        <v>73</v>
      </c>
      <c r="D214" s="47" t="s">
        <v>122</v>
      </c>
      <c r="E214" s="47" t="s">
        <v>82</v>
      </c>
      <c r="F214" s="47" t="s">
        <v>86</v>
      </c>
      <c r="G214" s="47" t="s">
        <v>131</v>
      </c>
      <c r="H214" s="49" t="b">
        <v>0</v>
      </c>
      <c r="I214" s="49" t="b">
        <v>1</v>
      </c>
      <c r="J214" s="49"/>
      <c r="K214" s="49" t="b">
        <v>0</v>
      </c>
      <c r="L214" s="49" t="b">
        <v>0</v>
      </c>
      <c r="M214" s="49" t="b">
        <v>0</v>
      </c>
      <c r="N214" s="49" t="b">
        <v>0</v>
      </c>
      <c r="O214" s="49" t="b">
        <v>0</v>
      </c>
      <c r="P214" s="14" t="s">
        <v>87</v>
      </c>
      <c r="Q214" s="49" t="b">
        <v>0</v>
      </c>
      <c r="R214" s="49" t="b">
        <v>1</v>
      </c>
      <c r="S214" s="15" t="b">
        <v>0</v>
      </c>
      <c r="T214" s="15" t="b">
        <v>0</v>
      </c>
    </row>
    <row r="215" ht="17.25" customHeight="1">
      <c r="A215" s="47" t="s">
        <v>410</v>
      </c>
      <c r="B215" s="48" t="s">
        <v>80</v>
      </c>
      <c r="C215" s="47" t="s">
        <v>95</v>
      </c>
      <c r="D215" s="47" t="s">
        <v>100</v>
      </c>
      <c r="E215" s="47" t="s">
        <v>75</v>
      </c>
      <c r="F215" s="47" t="s">
        <v>76</v>
      </c>
      <c r="G215" s="47" t="s">
        <v>8</v>
      </c>
      <c r="H215" s="49" t="b">
        <v>0</v>
      </c>
      <c r="I215" s="49" t="b">
        <v>0</v>
      </c>
      <c r="J215" s="49"/>
      <c r="K215" s="49" t="b">
        <v>1</v>
      </c>
      <c r="L215" s="49" t="b">
        <v>1</v>
      </c>
      <c r="M215" s="49" t="b">
        <v>1</v>
      </c>
      <c r="N215" s="49" t="b">
        <v>0</v>
      </c>
      <c r="O215" s="49" t="b">
        <v>0</v>
      </c>
      <c r="P215" s="14" t="s">
        <v>23</v>
      </c>
      <c r="Q215" s="49" t="b">
        <v>1</v>
      </c>
      <c r="R215" s="49" t="b">
        <v>1</v>
      </c>
      <c r="S215" s="15" t="b">
        <v>0</v>
      </c>
      <c r="T215" s="15" t="b">
        <v>0</v>
      </c>
      <c r="V215" s="14" t="s">
        <v>106</v>
      </c>
    </row>
    <row r="216" ht="17.25" customHeight="1">
      <c r="A216" s="50" t="s">
        <v>411</v>
      </c>
      <c r="B216" s="48" t="s">
        <v>72</v>
      </c>
      <c r="C216" s="47" t="s">
        <v>72</v>
      </c>
      <c r="D216" s="47" t="s">
        <v>142</v>
      </c>
      <c r="E216" s="47" t="s">
        <v>75</v>
      </c>
      <c r="F216" s="47" t="s">
        <v>86</v>
      </c>
      <c r="G216" s="47" t="s">
        <v>21</v>
      </c>
      <c r="H216" s="49" t="b">
        <v>0</v>
      </c>
      <c r="I216" s="49" t="b">
        <v>0</v>
      </c>
      <c r="J216" s="49"/>
      <c r="K216" s="49" t="b">
        <v>0</v>
      </c>
      <c r="L216" s="49" t="b">
        <v>0</v>
      </c>
      <c r="M216" s="49" t="b">
        <v>0</v>
      </c>
      <c r="N216" s="49" t="b">
        <v>0</v>
      </c>
      <c r="O216" s="49" t="b">
        <v>0</v>
      </c>
      <c r="P216" s="57"/>
      <c r="Q216" s="49" t="b">
        <v>0</v>
      </c>
      <c r="R216" s="49" t="b">
        <v>0</v>
      </c>
      <c r="S216" s="15" t="b">
        <v>0</v>
      </c>
      <c r="T216" s="15" t="b">
        <v>0</v>
      </c>
      <c r="U216" s="47"/>
      <c r="V216" s="47"/>
      <c r="W216" s="47" t="s">
        <v>412</v>
      </c>
      <c r="X216" s="47"/>
      <c r="Y216" s="47"/>
      <c r="Z216" s="47"/>
      <c r="AA216" s="47"/>
      <c r="AB216" s="47"/>
      <c r="AC216" s="47"/>
      <c r="AD216" s="47"/>
      <c r="AE216" s="47"/>
      <c r="AF216" s="47"/>
      <c r="AG216" s="47"/>
      <c r="AH216" s="47"/>
      <c r="AI216" s="47"/>
      <c r="AJ216" s="47"/>
      <c r="AK216" s="47"/>
    </row>
    <row r="217" ht="17.25" customHeight="1">
      <c r="A217" s="47" t="s">
        <v>413</v>
      </c>
      <c r="B217" s="48" t="s">
        <v>145</v>
      </c>
      <c r="C217" s="47" t="s">
        <v>95</v>
      </c>
      <c r="D217" s="47" t="s">
        <v>100</v>
      </c>
      <c r="E217" s="47" t="s">
        <v>75</v>
      </c>
      <c r="F217" s="47" t="s">
        <v>76</v>
      </c>
      <c r="G217" s="47" t="s">
        <v>11</v>
      </c>
      <c r="H217" s="49" t="b">
        <v>1</v>
      </c>
      <c r="I217" s="49" t="b">
        <v>1</v>
      </c>
      <c r="J217" s="49"/>
      <c r="K217" s="49" t="b">
        <v>1</v>
      </c>
      <c r="L217" s="14" t="b">
        <v>1</v>
      </c>
      <c r="M217" s="14" t="b">
        <v>1</v>
      </c>
      <c r="N217" s="15" t="b">
        <v>0</v>
      </c>
      <c r="O217" s="15" t="b">
        <v>0</v>
      </c>
      <c r="P217" s="14" t="s">
        <v>113</v>
      </c>
      <c r="Q217" s="49" t="b">
        <v>1</v>
      </c>
      <c r="R217" s="49" t="b">
        <v>1</v>
      </c>
      <c r="S217" s="15" t="b">
        <v>0</v>
      </c>
      <c r="T217" s="15" t="b">
        <v>0</v>
      </c>
      <c r="V217" s="14" t="s">
        <v>106</v>
      </c>
    </row>
    <row r="218" ht="17.25" customHeight="1">
      <c r="A218" s="47" t="s">
        <v>414</v>
      </c>
      <c r="B218" s="48" t="s">
        <v>72</v>
      </c>
      <c r="C218" s="47" t="s">
        <v>72</v>
      </c>
      <c r="D218" s="47" t="s">
        <v>74</v>
      </c>
      <c r="E218" s="47" t="s">
        <v>101</v>
      </c>
      <c r="F218" s="47" t="s">
        <v>76</v>
      </c>
      <c r="G218" s="47" t="s">
        <v>16</v>
      </c>
      <c r="H218" s="49" t="b">
        <v>1</v>
      </c>
      <c r="I218" s="49" t="b">
        <v>0</v>
      </c>
      <c r="J218" s="49"/>
      <c r="K218" s="49" t="b">
        <v>0</v>
      </c>
      <c r="L218" s="49" t="b">
        <v>0</v>
      </c>
      <c r="M218" s="49" t="b">
        <v>0</v>
      </c>
      <c r="N218" s="49" t="b">
        <v>0</v>
      </c>
      <c r="O218" s="49" t="b">
        <v>0</v>
      </c>
      <c r="P218" s="14" t="s">
        <v>78</v>
      </c>
      <c r="Q218" s="49" t="b">
        <v>1</v>
      </c>
      <c r="R218" s="49" t="b">
        <v>1</v>
      </c>
      <c r="S218" s="15" t="b">
        <v>0</v>
      </c>
      <c r="T218" s="15" t="b">
        <v>0</v>
      </c>
      <c r="V218" s="14" t="s">
        <v>106</v>
      </c>
    </row>
    <row r="219" ht="17.25" customHeight="1">
      <c r="A219" s="47" t="s">
        <v>415</v>
      </c>
      <c r="B219" s="48" t="s">
        <v>103</v>
      </c>
      <c r="C219" s="48" t="s">
        <v>103</v>
      </c>
      <c r="D219" s="47" t="s">
        <v>100</v>
      </c>
      <c r="E219" s="47" t="s">
        <v>91</v>
      </c>
      <c r="F219" s="47" t="s">
        <v>76</v>
      </c>
      <c r="G219" s="47" t="s">
        <v>10</v>
      </c>
      <c r="H219" s="49" t="b">
        <v>1</v>
      </c>
      <c r="I219" s="49" t="b">
        <v>0</v>
      </c>
      <c r="J219" s="49" t="b">
        <v>0</v>
      </c>
      <c r="K219" s="49" t="b">
        <v>1</v>
      </c>
      <c r="L219" s="49" t="b">
        <v>0</v>
      </c>
      <c r="M219" s="49" t="b">
        <v>1</v>
      </c>
      <c r="N219" s="49" t="b">
        <v>0</v>
      </c>
      <c r="O219" s="49" t="b">
        <v>0</v>
      </c>
      <c r="P219" s="14" t="s">
        <v>134</v>
      </c>
      <c r="Q219" s="49" t="b">
        <v>1</v>
      </c>
      <c r="R219" s="49" t="b">
        <v>1</v>
      </c>
      <c r="S219" s="15" t="b">
        <v>0</v>
      </c>
      <c r="T219" s="15" t="b">
        <v>0</v>
      </c>
    </row>
    <row r="220" ht="17.25" customHeight="1">
      <c r="A220" s="47" t="s">
        <v>416</v>
      </c>
      <c r="B220" s="48" t="s">
        <v>80</v>
      </c>
      <c r="C220" s="48" t="s">
        <v>95</v>
      </c>
      <c r="D220" s="47" t="s">
        <v>100</v>
      </c>
      <c r="E220" s="47" t="s">
        <v>91</v>
      </c>
      <c r="F220" s="47" t="s">
        <v>76</v>
      </c>
      <c r="G220" s="47" t="s">
        <v>11</v>
      </c>
      <c r="H220" s="49" t="b">
        <v>1</v>
      </c>
      <c r="I220" s="49" t="b">
        <v>0</v>
      </c>
      <c r="J220" s="49" t="b">
        <v>0</v>
      </c>
      <c r="K220" s="49" t="b">
        <v>0</v>
      </c>
      <c r="L220" s="49" t="b">
        <v>0</v>
      </c>
      <c r="M220" s="49" t="b">
        <v>0</v>
      </c>
      <c r="N220" s="49" t="b">
        <v>0</v>
      </c>
      <c r="O220" s="49" t="b">
        <v>0</v>
      </c>
      <c r="P220" s="14" t="s">
        <v>134</v>
      </c>
      <c r="Q220" s="49" t="b">
        <v>0</v>
      </c>
      <c r="R220" s="49" t="b">
        <v>0</v>
      </c>
      <c r="S220" s="15" t="b">
        <v>0</v>
      </c>
      <c r="T220" s="15" t="b">
        <v>0</v>
      </c>
      <c r="V220" s="14"/>
      <c r="X220" s="47"/>
      <c r="Y220" s="47"/>
      <c r="Z220" s="47"/>
      <c r="AA220" s="47"/>
      <c r="AB220" s="47"/>
      <c r="AC220" s="47"/>
      <c r="AD220" s="47"/>
      <c r="AE220" s="47"/>
      <c r="AF220" s="47"/>
      <c r="AG220" s="47"/>
      <c r="AH220" s="47"/>
      <c r="AI220" s="47"/>
      <c r="AJ220" s="47"/>
      <c r="AK220" s="47"/>
    </row>
    <row r="221" ht="17.25" customHeight="1">
      <c r="A221" s="47" t="s">
        <v>417</v>
      </c>
      <c r="B221" s="48" t="s">
        <v>103</v>
      </c>
      <c r="C221" s="48" t="s">
        <v>103</v>
      </c>
      <c r="D221" s="47" t="s">
        <v>100</v>
      </c>
      <c r="E221" s="47" t="s">
        <v>91</v>
      </c>
      <c r="F221" s="47" t="s">
        <v>86</v>
      </c>
      <c r="G221" s="47" t="s">
        <v>10</v>
      </c>
      <c r="H221" s="49" t="b">
        <v>0</v>
      </c>
      <c r="I221" s="49" t="b">
        <v>0</v>
      </c>
      <c r="J221" s="49" t="b">
        <v>0</v>
      </c>
      <c r="K221" s="49" t="b">
        <v>1</v>
      </c>
      <c r="L221" s="49" t="b">
        <v>0</v>
      </c>
      <c r="M221" s="49" t="b">
        <v>0</v>
      </c>
      <c r="N221" s="49" t="b">
        <v>0</v>
      </c>
      <c r="O221" s="49" t="b">
        <v>0</v>
      </c>
      <c r="P221" s="14" t="s">
        <v>134</v>
      </c>
      <c r="Q221" s="49" t="b">
        <v>1</v>
      </c>
      <c r="R221" s="49" t="b">
        <v>1</v>
      </c>
      <c r="S221" s="15" t="b">
        <v>0</v>
      </c>
      <c r="T221" s="15" t="b">
        <v>0</v>
      </c>
      <c r="V221" s="14" t="s">
        <v>106</v>
      </c>
      <c r="X221" s="47"/>
      <c r="Y221" s="47"/>
      <c r="Z221" s="47"/>
      <c r="AA221" s="47"/>
      <c r="AB221" s="47"/>
      <c r="AC221" s="47"/>
      <c r="AD221" s="47"/>
      <c r="AE221" s="47"/>
      <c r="AF221" s="47"/>
      <c r="AG221" s="47"/>
      <c r="AH221" s="47"/>
      <c r="AI221" s="47"/>
      <c r="AJ221" s="47"/>
      <c r="AK221" s="47"/>
    </row>
    <row r="222" ht="17.25" customHeight="1">
      <c r="A222" s="47" t="s">
        <v>418</v>
      </c>
      <c r="B222" s="48" t="s">
        <v>379</v>
      </c>
      <c r="C222" s="47" t="s">
        <v>73</v>
      </c>
      <c r="D222" s="47" t="s">
        <v>122</v>
      </c>
      <c r="E222" s="47" t="s">
        <v>82</v>
      </c>
      <c r="F222" s="47" t="s">
        <v>86</v>
      </c>
      <c r="G222" s="47" t="s">
        <v>131</v>
      </c>
      <c r="H222" s="49" t="b">
        <v>0</v>
      </c>
      <c r="I222" s="49" t="b">
        <v>0</v>
      </c>
      <c r="J222" s="49"/>
      <c r="K222" s="49" t="b">
        <v>0</v>
      </c>
      <c r="L222" s="49" t="b">
        <v>0</v>
      </c>
      <c r="M222" s="49" t="b">
        <v>0</v>
      </c>
      <c r="N222" s="49" t="b">
        <v>0</v>
      </c>
      <c r="O222" s="49" t="b">
        <v>0</v>
      </c>
      <c r="P222" s="14" t="s">
        <v>113</v>
      </c>
      <c r="Q222" s="49" t="b">
        <v>0</v>
      </c>
      <c r="R222" s="49" t="b">
        <v>0</v>
      </c>
      <c r="S222" s="15" t="b">
        <v>0</v>
      </c>
      <c r="T222" s="15" t="b">
        <v>0</v>
      </c>
      <c r="X222" s="47"/>
      <c r="Y222" s="47"/>
      <c r="Z222" s="47"/>
      <c r="AA222" s="47"/>
      <c r="AB222" s="47"/>
      <c r="AC222" s="47"/>
      <c r="AD222" s="47"/>
      <c r="AE222" s="47"/>
      <c r="AF222" s="47"/>
      <c r="AG222" s="47"/>
      <c r="AH222" s="47"/>
      <c r="AI222" s="47"/>
      <c r="AJ222" s="47"/>
      <c r="AK222" s="47"/>
    </row>
    <row r="223" ht="17.25" customHeight="1">
      <c r="A223" s="50" t="s">
        <v>419</v>
      </c>
      <c r="B223" s="48" t="s">
        <v>72</v>
      </c>
      <c r="C223" s="47" t="s">
        <v>72</v>
      </c>
      <c r="D223" s="47" t="s">
        <v>74</v>
      </c>
      <c r="E223" s="47" t="s">
        <v>91</v>
      </c>
      <c r="F223" s="47" t="s">
        <v>76</v>
      </c>
      <c r="G223" s="47" t="s">
        <v>11</v>
      </c>
      <c r="H223" s="49" t="b">
        <v>1</v>
      </c>
      <c r="I223" s="49" t="b">
        <v>0</v>
      </c>
      <c r="J223" s="49" t="b">
        <v>0</v>
      </c>
      <c r="K223" s="49" t="b">
        <v>0</v>
      </c>
      <c r="L223" s="49" t="b">
        <v>0</v>
      </c>
      <c r="M223" s="49" t="b">
        <v>1</v>
      </c>
      <c r="N223" s="49" t="b">
        <v>0</v>
      </c>
      <c r="O223" s="49" t="b">
        <v>0</v>
      </c>
      <c r="P223" s="14" t="s">
        <v>134</v>
      </c>
      <c r="Q223" s="49" t="b">
        <v>1</v>
      </c>
      <c r="R223" s="49" t="b">
        <v>1</v>
      </c>
      <c r="S223" s="15" t="b">
        <v>0</v>
      </c>
      <c r="T223" s="15" t="b">
        <v>0</v>
      </c>
      <c r="V223" s="14" t="s">
        <v>106</v>
      </c>
      <c r="X223" s="47"/>
      <c r="Y223" s="47"/>
      <c r="Z223" s="47"/>
      <c r="AA223" s="47"/>
      <c r="AB223" s="47"/>
      <c r="AC223" s="47"/>
      <c r="AD223" s="47"/>
      <c r="AE223" s="47"/>
      <c r="AF223" s="47"/>
      <c r="AG223" s="47"/>
      <c r="AH223" s="47"/>
      <c r="AI223" s="47"/>
      <c r="AJ223" s="47"/>
      <c r="AK223" s="47"/>
    </row>
    <row r="224" ht="17.25" customHeight="1">
      <c r="A224" s="47" t="s">
        <v>420</v>
      </c>
      <c r="B224" s="48" t="s">
        <v>109</v>
      </c>
      <c r="C224" s="47" t="s">
        <v>110</v>
      </c>
      <c r="D224" s="47" t="s">
        <v>90</v>
      </c>
      <c r="E224" s="47" t="s">
        <v>101</v>
      </c>
      <c r="F224" s="47" t="s">
        <v>86</v>
      </c>
      <c r="G224" s="47" t="s">
        <v>16</v>
      </c>
      <c r="H224" s="49" t="b">
        <v>0</v>
      </c>
      <c r="I224" s="49" t="b">
        <v>0</v>
      </c>
      <c r="J224" s="49"/>
      <c r="K224" s="49" t="b">
        <v>0</v>
      </c>
      <c r="L224" s="49" t="b">
        <v>0</v>
      </c>
      <c r="M224" s="49" t="b">
        <v>0</v>
      </c>
      <c r="N224" s="49" t="b">
        <v>0</v>
      </c>
      <c r="O224" s="49" t="b">
        <v>0</v>
      </c>
      <c r="P224" s="14" t="s">
        <v>23</v>
      </c>
      <c r="Q224" s="49" t="b">
        <v>1</v>
      </c>
      <c r="R224" s="49" t="b">
        <v>1</v>
      </c>
      <c r="S224" s="15" t="b">
        <v>0</v>
      </c>
      <c r="T224" s="15" t="b">
        <v>0</v>
      </c>
      <c r="V224" s="14" t="s">
        <v>106</v>
      </c>
    </row>
    <row r="225" ht="17.25" customHeight="1">
      <c r="A225" s="47" t="s">
        <v>421</v>
      </c>
      <c r="B225" s="48" t="s">
        <v>80</v>
      </c>
      <c r="C225" s="47" t="s">
        <v>95</v>
      </c>
      <c r="D225" s="47" t="s">
        <v>100</v>
      </c>
      <c r="E225" s="47" t="s">
        <v>75</v>
      </c>
      <c r="F225" s="47" t="s">
        <v>76</v>
      </c>
      <c r="G225" s="47" t="s">
        <v>8</v>
      </c>
      <c r="H225" s="49" t="b">
        <v>0</v>
      </c>
      <c r="I225" s="49" t="b">
        <v>0</v>
      </c>
      <c r="J225" s="49"/>
      <c r="K225" s="49" t="b">
        <v>1</v>
      </c>
      <c r="L225" s="49" t="b">
        <v>1</v>
      </c>
      <c r="M225" s="49" t="b">
        <v>1</v>
      </c>
      <c r="N225" s="49" t="b">
        <v>0</v>
      </c>
      <c r="O225" s="49" t="b">
        <v>0</v>
      </c>
      <c r="P225" s="14" t="s">
        <v>113</v>
      </c>
      <c r="Q225" s="49" t="b">
        <v>1</v>
      </c>
      <c r="R225" s="49" t="b">
        <v>1</v>
      </c>
      <c r="S225" s="15" t="b">
        <v>0</v>
      </c>
      <c r="T225" s="14" t="b">
        <v>1</v>
      </c>
      <c r="V225" s="14" t="s">
        <v>106</v>
      </c>
    </row>
    <row r="226" ht="17.25" customHeight="1">
      <c r="A226" s="47" t="s">
        <v>422</v>
      </c>
      <c r="B226" s="48" t="s">
        <v>103</v>
      </c>
      <c r="C226" s="48" t="s">
        <v>103</v>
      </c>
      <c r="D226" s="47" t="s">
        <v>142</v>
      </c>
      <c r="E226" s="47" t="s">
        <v>75</v>
      </c>
      <c r="F226" s="47" t="s">
        <v>76</v>
      </c>
      <c r="G226" s="47" t="s">
        <v>21</v>
      </c>
      <c r="H226" s="49" t="b">
        <v>0</v>
      </c>
      <c r="I226" s="49" t="b">
        <v>0</v>
      </c>
      <c r="J226" s="49"/>
      <c r="K226" s="49" t="b">
        <v>0</v>
      </c>
      <c r="L226" s="49" t="b">
        <v>0</v>
      </c>
      <c r="M226" s="49" t="b">
        <v>1</v>
      </c>
      <c r="N226" s="49" t="b">
        <v>0</v>
      </c>
      <c r="O226" s="49" t="b">
        <v>1</v>
      </c>
      <c r="P226" s="57"/>
      <c r="Q226" s="49" t="b">
        <v>1</v>
      </c>
      <c r="R226" s="49" t="b">
        <v>0</v>
      </c>
      <c r="S226" s="15" t="b">
        <v>0</v>
      </c>
      <c r="T226" s="15" t="b">
        <v>0</v>
      </c>
      <c r="X226" s="47"/>
      <c r="Y226" s="47"/>
      <c r="Z226" s="47"/>
      <c r="AA226" s="47"/>
      <c r="AB226" s="47"/>
      <c r="AC226" s="47"/>
      <c r="AD226" s="47"/>
      <c r="AE226" s="47"/>
      <c r="AF226" s="47"/>
      <c r="AG226" s="47"/>
      <c r="AH226" s="47"/>
      <c r="AI226" s="47"/>
      <c r="AJ226" s="47"/>
      <c r="AK226" s="47"/>
    </row>
    <row r="227" ht="17.25" customHeight="1">
      <c r="A227" s="50" t="s">
        <v>423</v>
      </c>
      <c r="B227" s="48" t="s">
        <v>72</v>
      </c>
      <c r="C227" s="47" t="s">
        <v>72</v>
      </c>
      <c r="D227" s="47" t="s">
        <v>100</v>
      </c>
      <c r="E227" s="47" t="s">
        <v>91</v>
      </c>
      <c r="F227" s="47" t="s">
        <v>76</v>
      </c>
      <c r="G227" s="47" t="s">
        <v>16</v>
      </c>
      <c r="H227" s="49" t="b">
        <v>0</v>
      </c>
      <c r="I227" s="49" t="b">
        <v>1</v>
      </c>
      <c r="J227" s="49" t="b">
        <v>0</v>
      </c>
      <c r="K227" s="49" t="b">
        <v>0</v>
      </c>
      <c r="L227" s="49" t="b">
        <v>0</v>
      </c>
      <c r="M227" s="49" t="b">
        <v>1</v>
      </c>
      <c r="N227" s="49" t="b">
        <v>0</v>
      </c>
      <c r="O227" s="49" t="b">
        <v>0</v>
      </c>
      <c r="P227" s="14" t="s">
        <v>134</v>
      </c>
      <c r="Q227" s="49" t="b">
        <v>1</v>
      </c>
      <c r="R227" s="49" t="b">
        <v>1</v>
      </c>
      <c r="S227" s="15" t="b">
        <v>0</v>
      </c>
      <c r="T227" s="15" t="b">
        <v>0</v>
      </c>
      <c r="V227" s="14" t="s">
        <v>106</v>
      </c>
      <c r="W227" s="14" t="s">
        <v>424</v>
      </c>
    </row>
    <row r="228" ht="17.25" customHeight="1">
      <c r="A228" s="47" t="s">
        <v>425</v>
      </c>
      <c r="B228" s="48" t="s">
        <v>80</v>
      </c>
      <c r="C228" s="47" t="s">
        <v>80</v>
      </c>
      <c r="D228" s="47" t="s">
        <v>122</v>
      </c>
      <c r="E228" s="47" t="s">
        <v>82</v>
      </c>
      <c r="F228" s="47" t="s">
        <v>86</v>
      </c>
      <c r="G228" s="47" t="s">
        <v>131</v>
      </c>
      <c r="H228" s="49" t="b">
        <v>0</v>
      </c>
      <c r="I228" s="49" t="b">
        <v>0</v>
      </c>
      <c r="J228" s="49"/>
      <c r="K228" s="49" t="b">
        <v>0</v>
      </c>
      <c r="L228" s="49" t="b">
        <v>0</v>
      </c>
      <c r="M228" s="49" t="b">
        <v>0</v>
      </c>
      <c r="N228" s="49" t="b">
        <v>0</v>
      </c>
      <c r="O228" s="49" t="b">
        <v>0</v>
      </c>
      <c r="P228" s="14" t="s">
        <v>87</v>
      </c>
      <c r="Q228" s="49" t="b">
        <v>0</v>
      </c>
      <c r="R228" s="49" t="b">
        <v>1</v>
      </c>
      <c r="S228" s="15" t="b">
        <v>0</v>
      </c>
      <c r="T228" s="15" t="b">
        <v>0</v>
      </c>
      <c r="U228" s="47"/>
      <c r="V228" s="47"/>
      <c r="W228" s="47"/>
    </row>
    <row r="229" ht="17.25" customHeight="1">
      <c r="A229" s="47" t="s">
        <v>426</v>
      </c>
      <c r="B229" s="48" t="s">
        <v>80</v>
      </c>
      <c r="C229" s="47" t="s">
        <v>84</v>
      </c>
      <c r="D229" s="47" t="s">
        <v>74</v>
      </c>
      <c r="E229" s="47" t="s">
        <v>82</v>
      </c>
      <c r="F229" s="47" t="s">
        <v>76</v>
      </c>
      <c r="G229" s="47" t="s">
        <v>15</v>
      </c>
      <c r="H229" s="49" t="b">
        <v>1</v>
      </c>
      <c r="I229" s="49" t="b">
        <v>0</v>
      </c>
      <c r="J229" s="49" t="s">
        <v>214</v>
      </c>
      <c r="K229" s="49" t="b">
        <v>0</v>
      </c>
      <c r="L229" s="49" t="b">
        <v>0</v>
      </c>
      <c r="M229" s="49" t="b">
        <v>0</v>
      </c>
      <c r="N229" s="49" t="b">
        <v>0</v>
      </c>
      <c r="O229" s="49" t="b">
        <v>0</v>
      </c>
      <c r="P229" s="14" t="s">
        <v>87</v>
      </c>
      <c r="Q229" s="49" t="b">
        <v>0</v>
      </c>
      <c r="R229" s="49" t="b">
        <v>0</v>
      </c>
      <c r="S229" s="15" t="b">
        <v>0</v>
      </c>
      <c r="T229" s="15" t="b">
        <v>0</v>
      </c>
      <c r="U229" s="47" t="s">
        <v>194</v>
      </c>
      <c r="V229" s="47"/>
      <c r="W229" s="47" t="s">
        <v>427</v>
      </c>
      <c r="X229" s="47"/>
      <c r="Y229" s="47"/>
      <c r="Z229" s="47"/>
      <c r="AA229" s="47"/>
      <c r="AB229" s="47"/>
      <c r="AC229" s="47"/>
      <c r="AD229" s="47"/>
      <c r="AE229" s="47"/>
      <c r="AF229" s="47"/>
      <c r="AG229" s="47"/>
      <c r="AH229" s="47"/>
      <c r="AI229" s="47"/>
      <c r="AJ229" s="47"/>
      <c r="AK229" s="47"/>
    </row>
    <row r="230" ht="17.25" customHeight="1">
      <c r="A230" s="50" t="s">
        <v>428</v>
      </c>
      <c r="B230" s="48" t="s">
        <v>80</v>
      </c>
      <c r="C230" s="48" t="s">
        <v>72</v>
      </c>
      <c r="D230" s="47" t="s">
        <v>90</v>
      </c>
      <c r="E230" s="47" t="s">
        <v>82</v>
      </c>
      <c r="F230" s="47" t="s">
        <v>86</v>
      </c>
      <c r="G230" s="47" t="s">
        <v>21</v>
      </c>
      <c r="H230" s="49" t="b">
        <v>0</v>
      </c>
      <c r="I230" s="49" t="b">
        <v>0</v>
      </c>
      <c r="J230" s="49"/>
      <c r="K230" s="49" t="b">
        <v>0</v>
      </c>
      <c r="L230" s="49" t="b">
        <v>0</v>
      </c>
      <c r="M230" s="49" t="b">
        <v>0</v>
      </c>
      <c r="N230" s="49" t="b">
        <v>0</v>
      </c>
      <c r="O230" s="49" t="b">
        <v>0</v>
      </c>
      <c r="P230" s="14" t="s">
        <v>23</v>
      </c>
      <c r="Q230" s="49" t="b">
        <v>0</v>
      </c>
      <c r="R230" s="49" t="b">
        <v>0</v>
      </c>
      <c r="S230" s="15" t="b">
        <v>0</v>
      </c>
      <c r="T230" s="15" t="b">
        <v>0</v>
      </c>
      <c r="U230" s="47"/>
      <c r="V230" s="47"/>
      <c r="W230" s="47"/>
    </row>
    <row r="231" ht="17.25" customHeight="1">
      <c r="A231" s="77" t="s">
        <v>429</v>
      </c>
      <c r="B231" s="51" t="s">
        <v>430</v>
      </c>
      <c r="C231" s="51" t="s">
        <v>73</v>
      </c>
      <c r="D231" s="48" t="s">
        <v>90</v>
      </c>
      <c r="E231" s="47" t="s">
        <v>82</v>
      </c>
      <c r="F231" s="51" t="s">
        <v>86</v>
      </c>
      <c r="G231" s="48" t="s">
        <v>21</v>
      </c>
      <c r="H231" s="52" t="b">
        <v>0</v>
      </c>
      <c r="I231" s="49" t="b">
        <v>1</v>
      </c>
      <c r="J231" s="52"/>
      <c r="K231" s="52" t="b">
        <v>0</v>
      </c>
      <c r="L231" s="52" t="b">
        <v>0</v>
      </c>
      <c r="M231" s="52" t="b">
        <v>0</v>
      </c>
      <c r="N231" s="52" t="b">
        <v>0</v>
      </c>
      <c r="O231" s="52" t="b">
        <v>0</v>
      </c>
      <c r="P231" s="48" t="s">
        <v>23</v>
      </c>
      <c r="Q231" s="52" t="b">
        <v>0</v>
      </c>
      <c r="R231" s="49" t="b">
        <v>1</v>
      </c>
      <c r="S231" s="52" t="b">
        <v>0</v>
      </c>
      <c r="T231" s="52" t="b">
        <v>0</v>
      </c>
      <c r="U231" s="47"/>
      <c r="V231" s="47"/>
      <c r="W231" s="47"/>
    </row>
    <row r="232" ht="17.25" customHeight="1">
      <c r="A232" s="47" t="s">
        <v>431</v>
      </c>
      <c r="B232" s="48" t="s">
        <v>103</v>
      </c>
      <c r="C232" s="48" t="s">
        <v>103</v>
      </c>
      <c r="D232" s="47" t="s">
        <v>74</v>
      </c>
      <c r="E232" s="47" t="s">
        <v>101</v>
      </c>
      <c r="F232" s="47" t="s">
        <v>76</v>
      </c>
      <c r="G232" s="47" t="s">
        <v>10</v>
      </c>
      <c r="H232" s="49" t="b">
        <v>0</v>
      </c>
      <c r="I232" s="49" t="b">
        <v>0</v>
      </c>
      <c r="J232" s="49" t="b">
        <v>0</v>
      </c>
      <c r="K232" s="49" t="b">
        <v>0</v>
      </c>
      <c r="L232" s="49" t="b">
        <v>0</v>
      </c>
      <c r="M232" s="49" t="b">
        <v>1</v>
      </c>
      <c r="N232" s="49" t="b">
        <v>0</v>
      </c>
      <c r="O232" s="49" t="b">
        <v>0</v>
      </c>
      <c r="P232" s="14" t="s">
        <v>138</v>
      </c>
      <c r="Q232" s="49" t="b">
        <v>1</v>
      </c>
      <c r="R232" s="49" t="b">
        <v>0</v>
      </c>
      <c r="S232" s="15" t="b">
        <v>0</v>
      </c>
      <c r="T232" s="15" t="b">
        <v>0</v>
      </c>
      <c r="V232" s="14" t="s">
        <v>106</v>
      </c>
    </row>
    <row r="233" ht="17.25" customHeight="1">
      <c r="A233" s="47" t="s">
        <v>432</v>
      </c>
      <c r="B233" s="48" t="s">
        <v>80</v>
      </c>
      <c r="C233" s="47" t="s">
        <v>95</v>
      </c>
      <c r="D233" s="47" t="s">
        <v>74</v>
      </c>
      <c r="E233" s="47" t="s">
        <v>75</v>
      </c>
      <c r="F233" s="47" t="s">
        <v>76</v>
      </c>
      <c r="G233" s="47" t="s">
        <v>8</v>
      </c>
      <c r="H233" s="49" t="b">
        <v>0</v>
      </c>
      <c r="I233" s="49" t="b">
        <v>1</v>
      </c>
      <c r="J233" s="49"/>
      <c r="K233" s="49" t="b">
        <v>0</v>
      </c>
      <c r="L233" s="49" t="b">
        <v>0</v>
      </c>
      <c r="M233" s="49" t="b">
        <v>1</v>
      </c>
      <c r="N233" s="49" t="b">
        <v>0</v>
      </c>
      <c r="O233" s="49" t="b">
        <v>0</v>
      </c>
      <c r="P233" s="14" t="s">
        <v>23</v>
      </c>
      <c r="Q233" s="49" t="b">
        <v>1</v>
      </c>
      <c r="R233" s="49" t="b">
        <v>1</v>
      </c>
      <c r="S233" s="15" t="b">
        <v>0</v>
      </c>
      <c r="T233" s="15" t="b">
        <v>0</v>
      </c>
      <c r="V233" s="14" t="s">
        <v>106</v>
      </c>
    </row>
    <row r="234" ht="17.25" customHeight="1">
      <c r="A234" s="53" t="s">
        <v>433</v>
      </c>
      <c r="B234" s="48" t="s">
        <v>145</v>
      </c>
      <c r="C234" s="47" t="s">
        <v>95</v>
      </c>
      <c r="D234" s="47" t="s">
        <v>74</v>
      </c>
      <c r="E234" s="47" t="s">
        <v>101</v>
      </c>
      <c r="F234" s="47" t="s">
        <v>76</v>
      </c>
      <c r="G234" s="47" t="s">
        <v>11</v>
      </c>
      <c r="H234" s="49" t="b">
        <v>0</v>
      </c>
      <c r="I234" s="49" t="b">
        <v>0</v>
      </c>
      <c r="J234" s="49"/>
      <c r="K234" s="49" t="b">
        <v>0</v>
      </c>
      <c r="L234" s="49" t="b">
        <v>0</v>
      </c>
      <c r="M234" s="49" t="b">
        <v>1</v>
      </c>
      <c r="N234" s="49" t="b">
        <v>0</v>
      </c>
      <c r="O234" s="49" t="b">
        <v>1</v>
      </c>
      <c r="P234" s="14" t="s">
        <v>23</v>
      </c>
      <c r="Q234" s="49" t="b">
        <v>1</v>
      </c>
      <c r="R234" s="49" t="b">
        <v>1</v>
      </c>
      <c r="S234" s="15" t="b">
        <v>0</v>
      </c>
      <c r="T234" s="15" t="b">
        <v>0</v>
      </c>
      <c r="V234" s="14" t="s">
        <v>106</v>
      </c>
    </row>
    <row r="235" ht="17.25" customHeight="1">
      <c r="A235" s="78" t="s">
        <v>434</v>
      </c>
      <c r="B235" s="48" t="s">
        <v>72</v>
      </c>
      <c r="C235" s="48" t="s">
        <v>72</v>
      </c>
      <c r="D235" s="47" t="s">
        <v>90</v>
      </c>
      <c r="E235" s="47" t="s">
        <v>96</v>
      </c>
      <c r="F235" s="47" t="s">
        <v>86</v>
      </c>
      <c r="G235" s="47" t="s">
        <v>8</v>
      </c>
      <c r="H235" s="49" t="b">
        <v>0</v>
      </c>
      <c r="I235" s="49" t="b">
        <v>0</v>
      </c>
      <c r="J235" s="49"/>
      <c r="K235" s="49" t="b">
        <v>0</v>
      </c>
      <c r="L235" s="49" t="b">
        <v>0</v>
      </c>
      <c r="M235" s="49" t="b">
        <v>0</v>
      </c>
      <c r="N235" s="49" t="b">
        <v>0</v>
      </c>
      <c r="O235" s="49" t="b">
        <v>0</v>
      </c>
      <c r="P235" s="14" t="s">
        <v>23</v>
      </c>
      <c r="Q235" s="49" t="b">
        <v>0</v>
      </c>
      <c r="R235" s="49" t="b">
        <v>0</v>
      </c>
      <c r="S235" s="15" t="b">
        <v>0</v>
      </c>
      <c r="T235" s="15" t="b">
        <v>0</v>
      </c>
      <c r="V235" s="14"/>
    </row>
    <row r="236" ht="17.25" customHeight="1">
      <c r="A236" s="47" t="s">
        <v>435</v>
      </c>
      <c r="B236" s="48" t="s">
        <v>72</v>
      </c>
      <c r="C236" s="47" t="s">
        <v>72</v>
      </c>
      <c r="D236" s="47" t="s">
        <v>100</v>
      </c>
      <c r="E236" s="47" t="s">
        <v>75</v>
      </c>
      <c r="F236" s="47" t="s">
        <v>76</v>
      </c>
      <c r="G236" s="47" t="s">
        <v>8</v>
      </c>
      <c r="H236" s="49" t="b">
        <v>1</v>
      </c>
      <c r="I236" s="49" t="b">
        <v>0</v>
      </c>
      <c r="J236" s="49"/>
      <c r="K236" s="49" t="b">
        <v>0</v>
      </c>
      <c r="L236" s="49" t="b">
        <v>0</v>
      </c>
      <c r="M236" s="49" t="b">
        <v>0</v>
      </c>
      <c r="N236" s="49" t="b">
        <v>0</v>
      </c>
      <c r="O236" s="49" t="b">
        <v>0</v>
      </c>
      <c r="P236" s="14" t="s">
        <v>78</v>
      </c>
      <c r="Q236" s="49" t="b">
        <v>1</v>
      </c>
      <c r="R236" s="49" t="b">
        <v>1</v>
      </c>
      <c r="S236" s="15" t="b">
        <v>0</v>
      </c>
      <c r="T236" s="15" t="b">
        <v>0</v>
      </c>
      <c r="V236" s="14" t="s">
        <v>106</v>
      </c>
    </row>
    <row r="237" ht="17.25" customHeight="1">
      <c r="A237" s="47" t="s">
        <v>436</v>
      </c>
      <c r="B237" s="48" t="s">
        <v>73</v>
      </c>
      <c r="C237" s="47" t="s">
        <v>73</v>
      </c>
      <c r="D237" s="47" t="s">
        <v>100</v>
      </c>
      <c r="E237" s="47" t="s">
        <v>75</v>
      </c>
      <c r="F237" s="47" t="s">
        <v>76</v>
      </c>
      <c r="G237" s="47" t="s">
        <v>338</v>
      </c>
      <c r="H237" s="49" t="b">
        <v>0</v>
      </c>
      <c r="I237" s="49" t="b">
        <v>0</v>
      </c>
      <c r="J237" s="49"/>
      <c r="K237" s="49" t="b">
        <v>0</v>
      </c>
      <c r="L237" s="49" t="b">
        <v>0</v>
      </c>
      <c r="M237" s="49" t="b">
        <v>0</v>
      </c>
      <c r="N237" s="49" t="b">
        <v>0</v>
      </c>
      <c r="O237" s="49" t="b">
        <v>0</v>
      </c>
      <c r="P237" s="14" t="s">
        <v>138</v>
      </c>
      <c r="Q237" s="49" t="b">
        <v>0</v>
      </c>
      <c r="R237" s="49" t="b">
        <v>0</v>
      </c>
      <c r="S237" s="15" t="b">
        <v>0</v>
      </c>
      <c r="T237" s="15" t="b">
        <v>0</v>
      </c>
      <c r="X237" s="47"/>
      <c r="Y237" s="47"/>
      <c r="Z237" s="47"/>
      <c r="AA237" s="47"/>
      <c r="AB237" s="47"/>
      <c r="AC237" s="47"/>
      <c r="AD237" s="47"/>
      <c r="AE237" s="47"/>
      <c r="AF237" s="47"/>
      <c r="AG237" s="47"/>
      <c r="AH237" s="47"/>
      <c r="AI237" s="47"/>
      <c r="AJ237" s="47"/>
      <c r="AK237" s="47"/>
    </row>
    <row r="238" ht="17.25" customHeight="1">
      <c r="A238" s="58" t="s">
        <v>437</v>
      </c>
      <c r="B238" s="48" t="s">
        <v>103</v>
      </c>
      <c r="C238" s="48" t="s">
        <v>103</v>
      </c>
      <c r="D238" s="47" t="s">
        <v>100</v>
      </c>
      <c r="E238" s="47" t="s">
        <v>96</v>
      </c>
      <c r="F238" s="47" t="s">
        <v>76</v>
      </c>
      <c r="G238" s="47" t="s">
        <v>11</v>
      </c>
      <c r="H238" s="49" t="b">
        <v>1</v>
      </c>
      <c r="I238" s="49" t="b">
        <v>0</v>
      </c>
      <c r="J238" s="49" t="b">
        <v>0</v>
      </c>
      <c r="K238" s="49" t="b">
        <v>0</v>
      </c>
      <c r="L238" s="49" t="b">
        <v>0</v>
      </c>
      <c r="M238" s="49" t="b">
        <v>0</v>
      </c>
      <c r="N238" s="49" t="b">
        <v>0</v>
      </c>
      <c r="O238" s="49" t="b">
        <v>0</v>
      </c>
      <c r="P238" s="14" t="s">
        <v>78</v>
      </c>
      <c r="Q238" s="49" t="b">
        <v>0</v>
      </c>
      <c r="R238" s="49" t="b">
        <v>0</v>
      </c>
      <c r="S238" s="14" t="b">
        <v>0</v>
      </c>
      <c r="T238" s="14" t="b">
        <v>0</v>
      </c>
      <c r="V238" s="47"/>
      <c r="W238" s="47"/>
    </row>
    <row r="239" ht="17.25" customHeight="1">
      <c r="A239" s="47" t="s">
        <v>438</v>
      </c>
      <c r="B239" s="48" t="s">
        <v>80</v>
      </c>
      <c r="C239" s="47" t="s">
        <v>84</v>
      </c>
      <c r="D239" s="47" t="s">
        <v>85</v>
      </c>
      <c r="E239" s="47" t="s">
        <v>96</v>
      </c>
      <c r="F239" s="47" t="s">
        <v>86</v>
      </c>
      <c r="G239" s="47" t="s">
        <v>15</v>
      </c>
      <c r="H239" s="49" t="b">
        <v>1</v>
      </c>
      <c r="I239" s="49" t="b">
        <v>0</v>
      </c>
      <c r="J239" s="49" t="s">
        <v>242</v>
      </c>
      <c r="K239" s="49" t="b">
        <v>0</v>
      </c>
      <c r="L239" s="49" t="b">
        <v>0</v>
      </c>
      <c r="M239" s="49" t="b">
        <v>0</v>
      </c>
      <c r="N239" s="49" t="b">
        <v>0</v>
      </c>
      <c r="O239" s="49" t="b">
        <v>0</v>
      </c>
      <c r="P239" s="14" t="s">
        <v>113</v>
      </c>
      <c r="Q239" s="49" t="b">
        <v>1</v>
      </c>
      <c r="R239" s="49" t="b">
        <v>0</v>
      </c>
      <c r="S239" s="15" t="b">
        <v>0</v>
      </c>
      <c r="T239" s="14" t="b">
        <v>1</v>
      </c>
      <c r="U239" s="14" t="s">
        <v>215</v>
      </c>
      <c r="W239" s="14" t="s">
        <v>439</v>
      </c>
    </row>
    <row r="240" ht="17.25" customHeight="1">
      <c r="A240" s="47" t="s">
        <v>440</v>
      </c>
      <c r="B240" s="48" t="s">
        <v>441</v>
      </c>
      <c r="C240" s="47" t="s">
        <v>73</v>
      </c>
      <c r="D240" s="47" t="s">
        <v>100</v>
      </c>
      <c r="E240" s="47" t="s">
        <v>82</v>
      </c>
      <c r="F240" s="47" t="s">
        <v>86</v>
      </c>
      <c r="G240" s="47" t="s">
        <v>247</v>
      </c>
      <c r="H240" s="49" t="b">
        <v>0</v>
      </c>
      <c r="I240" s="49" t="b">
        <v>0</v>
      </c>
      <c r="J240" s="49" t="s">
        <v>442</v>
      </c>
      <c r="K240" s="49" t="b">
        <v>1</v>
      </c>
      <c r="L240" s="49" t="b">
        <v>1</v>
      </c>
      <c r="M240" s="49" t="b">
        <v>0</v>
      </c>
      <c r="N240" s="49" t="b">
        <v>0</v>
      </c>
      <c r="O240" s="49" t="b">
        <v>1</v>
      </c>
      <c r="P240" s="14" t="s">
        <v>87</v>
      </c>
      <c r="Q240" s="49" t="b">
        <v>0</v>
      </c>
      <c r="R240" s="49" t="b">
        <v>0</v>
      </c>
      <c r="S240" s="15" t="b">
        <v>0</v>
      </c>
      <c r="T240" s="15" t="b">
        <v>0</v>
      </c>
      <c r="W240" s="14" t="s">
        <v>443</v>
      </c>
    </row>
    <row r="241" ht="17.25" customHeight="1">
      <c r="A241" s="62" t="s">
        <v>444</v>
      </c>
      <c r="B241" s="14" t="s">
        <v>158</v>
      </c>
      <c r="C241" s="47" t="s">
        <v>95</v>
      </c>
      <c r="D241" s="47" t="s">
        <v>142</v>
      </c>
      <c r="E241" s="47" t="s">
        <v>75</v>
      </c>
      <c r="F241" s="47" t="s">
        <v>86</v>
      </c>
      <c r="G241" s="47" t="s">
        <v>8</v>
      </c>
      <c r="H241" s="49" t="b">
        <v>0</v>
      </c>
      <c r="I241" s="49" t="b">
        <v>0</v>
      </c>
      <c r="J241" s="49" t="b">
        <v>0</v>
      </c>
      <c r="K241" s="49" t="b">
        <v>0</v>
      </c>
      <c r="L241" s="49" t="b">
        <v>0</v>
      </c>
      <c r="M241" s="49" t="b">
        <v>0</v>
      </c>
      <c r="N241" s="49" t="b">
        <v>0</v>
      </c>
      <c r="O241" s="49" t="b">
        <v>1</v>
      </c>
      <c r="P241" s="14" t="s">
        <v>87</v>
      </c>
      <c r="Q241" s="49" t="b">
        <v>1</v>
      </c>
      <c r="R241" s="49" t="b">
        <v>1</v>
      </c>
      <c r="S241" s="15" t="b">
        <v>0</v>
      </c>
      <c r="T241" s="14" t="b">
        <v>0</v>
      </c>
    </row>
    <row r="242" ht="17.25" customHeight="1">
      <c r="A242" s="47" t="s">
        <v>445</v>
      </c>
      <c r="B242" s="48" t="s">
        <v>80</v>
      </c>
      <c r="C242" s="47" t="s">
        <v>95</v>
      </c>
      <c r="D242" s="47" t="s">
        <v>100</v>
      </c>
      <c r="E242" s="47" t="s">
        <v>75</v>
      </c>
      <c r="F242" s="47" t="s">
        <v>76</v>
      </c>
      <c r="G242" s="47" t="s">
        <v>8</v>
      </c>
      <c r="H242" s="49" t="b">
        <v>1</v>
      </c>
      <c r="I242" s="49" t="b">
        <v>0</v>
      </c>
      <c r="J242" s="49"/>
      <c r="K242" s="49" t="b">
        <v>1</v>
      </c>
      <c r="L242" s="49" t="b">
        <v>1</v>
      </c>
      <c r="M242" s="49" t="b">
        <v>1</v>
      </c>
      <c r="N242" s="49" t="b">
        <v>1</v>
      </c>
      <c r="O242" s="49" t="b">
        <v>0</v>
      </c>
      <c r="P242" s="14" t="s">
        <v>113</v>
      </c>
      <c r="Q242" s="49" t="b">
        <v>0</v>
      </c>
      <c r="R242" s="49" t="b">
        <v>1</v>
      </c>
      <c r="S242" s="14" t="b">
        <v>1</v>
      </c>
      <c r="T242" s="14" t="b">
        <v>1</v>
      </c>
      <c r="V242" s="14" t="s">
        <v>106</v>
      </c>
    </row>
    <row r="243" ht="17.25" customHeight="1">
      <c r="A243" s="58" t="s">
        <v>446</v>
      </c>
      <c r="B243" s="48" t="s">
        <v>103</v>
      </c>
      <c r="C243" s="48" t="s">
        <v>103</v>
      </c>
      <c r="D243" s="47" t="s">
        <v>100</v>
      </c>
      <c r="E243" s="47" t="s">
        <v>75</v>
      </c>
      <c r="F243" s="47" t="s">
        <v>76</v>
      </c>
      <c r="G243" s="47" t="s">
        <v>10</v>
      </c>
      <c r="H243" s="49" t="b">
        <v>1</v>
      </c>
      <c r="I243" s="49" t="b">
        <v>0</v>
      </c>
      <c r="J243" s="49"/>
      <c r="K243" s="49" t="b">
        <v>0</v>
      </c>
      <c r="L243" s="49" t="b">
        <v>1</v>
      </c>
      <c r="M243" s="49" t="b">
        <v>0</v>
      </c>
      <c r="N243" s="49" t="b">
        <v>1</v>
      </c>
      <c r="O243" s="49" t="b">
        <v>0</v>
      </c>
      <c r="P243" s="14" t="s">
        <v>78</v>
      </c>
      <c r="Q243" s="49" t="b">
        <v>0</v>
      </c>
      <c r="R243" s="49" t="b">
        <v>0</v>
      </c>
      <c r="S243" s="14" t="b">
        <v>0</v>
      </c>
      <c r="T243" s="14" t="b">
        <v>1</v>
      </c>
      <c r="V243" s="47"/>
      <c r="W243" s="47"/>
    </row>
    <row r="244" ht="17.25" customHeight="1">
      <c r="A244" s="47" t="s">
        <v>447</v>
      </c>
      <c r="B244" s="48" t="s">
        <v>288</v>
      </c>
      <c r="C244" s="47" t="s">
        <v>84</v>
      </c>
      <c r="D244" s="47" t="s">
        <v>85</v>
      </c>
      <c r="E244" s="47" t="s">
        <v>101</v>
      </c>
      <c r="F244" s="47" t="s">
        <v>76</v>
      </c>
      <c r="G244" s="47" t="s">
        <v>15</v>
      </c>
      <c r="H244" s="49" t="b">
        <v>0</v>
      </c>
      <c r="I244" s="49" t="b">
        <v>0</v>
      </c>
      <c r="J244" s="49" t="s">
        <v>242</v>
      </c>
      <c r="K244" s="49" t="b">
        <v>0</v>
      </c>
      <c r="L244" s="49" t="b">
        <v>0</v>
      </c>
      <c r="M244" s="49" t="b">
        <v>0</v>
      </c>
      <c r="N244" s="49" t="b">
        <v>0</v>
      </c>
      <c r="O244" s="49" t="b">
        <v>0</v>
      </c>
      <c r="P244" s="14" t="s">
        <v>87</v>
      </c>
      <c r="Q244" s="49" t="b">
        <v>0</v>
      </c>
      <c r="R244" s="49" t="b">
        <v>0</v>
      </c>
      <c r="S244" s="15" t="b">
        <v>0</v>
      </c>
      <c r="T244" s="15" t="b">
        <v>0</v>
      </c>
      <c r="U244" s="47" t="s">
        <v>215</v>
      </c>
      <c r="V244" s="47"/>
      <c r="W244" s="47" t="s">
        <v>311</v>
      </c>
      <c r="X244" s="47"/>
      <c r="Y244" s="47"/>
      <c r="Z244" s="47"/>
      <c r="AA244" s="47"/>
      <c r="AB244" s="47"/>
      <c r="AC244" s="47"/>
      <c r="AD244" s="47"/>
      <c r="AE244" s="47"/>
      <c r="AF244" s="47"/>
      <c r="AG244" s="47"/>
      <c r="AH244" s="47"/>
      <c r="AI244" s="47"/>
      <c r="AJ244" s="47"/>
      <c r="AK244" s="47"/>
    </row>
    <row r="245" ht="17.25" customHeight="1">
      <c r="A245" s="47" t="s">
        <v>448</v>
      </c>
      <c r="B245" s="48" t="s">
        <v>99</v>
      </c>
      <c r="C245" s="47" t="s">
        <v>95</v>
      </c>
      <c r="D245" s="48" t="s">
        <v>142</v>
      </c>
      <c r="E245" s="47" t="s">
        <v>82</v>
      </c>
      <c r="F245" s="48" t="s">
        <v>86</v>
      </c>
      <c r="G245" s="48" t="s">
        <v>11</v>
      </c>
      <c r="H245" s="49" t="b">
        <v>0</v>
      </c>
      <c r="I245" s="49" t="b">
        <v>0</v>
      </c>
      <c r="J245" s="52"/>
      <c r="K245" s="52" t="b">
        <v>0</v>
      </c>
      <c r="L245" s="52" t="b">
        <v>0</v>
      </c>
      <c r="M245" s="52" t="b">
        <v>0</v>
      </c>
      <c r="N245" s="52" t="b">
        <v>0</v>
      </c>
      <c r="O245" s="52" t="b">
        <v>0</v>
      </c>
      <c r="P245" s="48" t="s">
        <v>23</v>
      </c>
      <c r="Q245" s="52" t="b">
        <v>0</v>
      </c>
      <c r="R245" s="52" t="b">
        <v>0</v>
      </c>
      <c r="S245" s="52" t="b">
        <v>0</v>
      </c>
      <c r="T245" s="52" t="b">
        <v>0</v>
      </c>
      <c r="V245" s="47"/>
      <c r="W245" s="47"/>
      <c r="X245" s="47"/>
      <c r="Y245" s="47"/>
      <c r="Z245" s="47"/>
      <c r="AA245" s="47"/>
      <c r="AB245" s="47"/>
      <c r="AC245" s="47"/>
      <c r="AD245" s="47"/>
      <c r="AE245" s="47"/>
      <c r="AF245" s="47"/>
      <c r="AG245" s="47"/>
      <c r="AH245" s="47"/>
      <c r="AI245" s="47"/>
      <c r="AJ245" s="47"/>
      <c r="AK245" s="47"/>
    </row>
    <row r="246" ht="17.25" customHeight="1">
      <c r="A246" s="47" t="s">
        <v>449</v>
      </c>
      <c r="B246" s="48" t="s">
        <v>162</v>
      </c>
      <c r="C246" s="47" t="s">
        <v>95</v>
      </c>
      <c r="D246" s="48" t="s">
        <v>100</v>
      </c>
      <c r="E246" s="47" t="s">
        <v>82</v>
      </c>
      <c r="F246" s="51" t="s">
        <v>86</v>
      </c>
      <c r="G246" s="48" t="s">
        <v>11</v>
      </c>
      <c r="H246" s="49" t="b">
        <v>0</v>
      </c>
      <c r="I246" s="49" t="b">
        <v>1</v>
      </c>
      <c r="J246" s="52"/>
      <c r="K246" s="52" t="b">
        <v>0</v>
      </c>
      <c r="L246" s="52" t="b">
        <v>0</v>
      </c>
      <c r="M246" s="52" t="b">
        <v>0</v>
      </c>
      <c r="N246" s="52" t="b">
        <v>0</v>
      </c>
      <c r="O246" s="52" t="b">
        <v>0</v>
      </c>
      <c r="P246" s="48" t="s">
        <v>23</v>
      </c>
      <c r="Q246" s="52" t="b">
        <v>0</v>
      </c>
      <c r="R246" s="52" t="b">
        <v>0</v>
      </c>
      <c r="S246" s="52" t="b">
        <v>0</v>
      </c>
      <c r="T246" s="52" t="b">
        <v>0</v>
      </c>
      <c r="V246" s="47"/>
      <c r="W246" s="47" t="s">
        <v>450</v>
      </c>
      <c r="X246" s="47"/>
      <c r="Y246" s="47"/>
      <c r="Z246" s="47"/>
      <c r="AA246" s="47"/>
      <c r="AB246" s="47"/>
      <c r="AC246" s="47"/>
      <c r="AD246" s="47"/>
      <c r="AE246" s="47"/>
      <c r="AF246" s="47"/>
      <c r="AG246" s="47"/>
      <c r="AH246" s="47"/>
      <c r="AI246" s="47"/>
      <c r="AJ246" s="47"/>
      <c r="AK246" s="47"/>
    </row>
    <row r="247" ht="17.25" customHeight="1">
      <c r="A247" s="47" t="s">
        <v>451</v>
      </c>
      <c r="B247" s="48" t="s">
        <v>80</v>
      </c>
      <c r="C247" s="47" t="s">
        <v>84</v>
      </c>
      <c r="D247" s="47" t="s">
        <v>90</v>
      </c>
      <c r="E247" s="47" t="s">
        <v>101</v>
      </c>
      <c r="F247" s="47" t="s">
        <v>86</v>
      </c>
      <c r="G247" s="47" t="s">
        <v>16</v>
      </c>
      <c r="H247" s="49" t="b">
        <v>0</v>
      </c>
      <c r="I247" s="49" t="b">
        <v>0</v>
      </c>
      <c r="J247" s="49" t="b">
        <v>0</v>
      </c>
      <c r="K247" s="49" t="b">
        <v>0</v>
      </c>
      <c r="L247" s="49" t="b">
        <v>0</v>
      </c>
      <c r="M247" s="49" t="b">
        <v>0</v>
      </c>
      <c r="N247" s="49" t="b">
        <v>0</v>
      </c>
      <c r="O247" s="49" t="b">
        <v>0</v>
      </c>
      <c r="P247" s="14" t="s">
        <v>113</v>
      </c>
      <c r="Q247" s="49" t="b">
        <v>0</v>
      </c>
      <c r="R247" s="49" t="b">
        <v>0</v>
      </c>
      <c r="S247" s="15" t="b">
        <v>0</v>
      </c>
      <c r="T247" s="14" t="b">
        <v>0</v>
      </c>
      <c r="U247" s="47"/>
      <c r="V247" s="47"/>
      <c r="W247" s="47"/>
      <c r="X247" s="47"/>
      <c r="Y247" s="47"/>
      <c r="Z247" s="47"/>
      <c r="AA247" s="47"/>
      <c r="AB247" s="47"/>
      <c r="AC247" s="47"/>
      <c r="AD247" s="47"/>
      <c r="AE247" s="47"/>
      <c r="AF247" s="47"/>
      <c r="AG247" s="47"/>
      <c r="AH247" s="47"/>
      <c r="AI247" s="47"/>
      <c r="AJ247" s="47"/>
      <c r="AK247" s="47"/>
    </row>
    <row r="248" ht="17.25" customHeight="1">
      <c r="A248" s="47" t="s">
        <v>452</v>
      </c>
      <c r="B248" s="48" t="s">
        <v>80</v>
      </c>
      <c r="C248" s="47" t="s">
        <v>84</v>
      </c>
      <c r="D248" s="47" t="s">
        <v>85</v>
      </c>
      <c r="E248" s="47" t="s">
        <v>82</v>
      </c>
      <c r="F248" s="47" t="s">
        <v>86</v>
      </c>
      <c r="G248" s="47" t="s">
        <v>16</v>
      </c>
      <c r="H248" s="49" t="b">
        <v>0</v>
      </c>
      <c r="I248" s="49" t="b">
        <v>0</v>
      </c>
      <c r="J248" s="49" t="b">
        <v>0</v>
      </c>
      <c r="K248" s="49" t="b">
        <v>0</v>
      </c>
      <c r="L248" s="49" t="b">
        <v>0</v>
      </c>
      <c r="M248" s="49" t="b">
        <v>0</v>
      </c>
      <c r="N248" s="49" t="b">
        <v>0</v>
      </c>
      <c r="O248" s="49" t="b">
        <v>0</v>
      </c>
      <c r="P248" s="14" t="s">
        <v>87</v>
      </c>
      <c r="Q248" s="49" t="b">
        <v>0</v>
      </c>
      <c r="R248" s="49" t="b">
        <v>0</v>
      </c>
      <c r="S248" s="15" t="b">
        <v>0</v>
      </c>
      <c r="T248" s="14" t="b">
        <v>0</v>
      </c>
      <c r="U248" s="47"/>
      <c r="V248" s="47"/>
      <c r="W248" s="47"/>
    </row>
    <row r="249" ht="17.25" customHeight="1">
      <c r="A249" s="65" t="s">
        <v>453</v>
      </c>
      <c r="B249" s="48" t="s">
        <v>72</v>
      </c>
      <c r="C249" s="47" t="s">
        <v>72</v>
      </c>
      <c r="D249" s="47" t="s">
        <v>122</v>
      </c>
      <c r="E249" s="47" t="s">
        <v>82</v>
      </c>
      <c r="F249" s="47" t="s">
        <v>86</v>
      </c>
      <c r="G249" s="47" t="s">
        <v>16</v>
      </c>
      <c r="H249" s="49" t="b">
        <v>0</v>
      </c>
      <c r="I249" s="49" t="b">
        <v>1</v>
      </c>
      <c r="J249" s="49" t="b">
        <v>0</v>
      </c>
      <c r="K249" s="49" t="b">
        <v>0</v>
      </c>
      <c r="L249" s="49" t="b">
        <v>0</v>
      </c>
      <c r="M249" s="49" t="b">
        <v>0</v>
      </c>
      <c r="N249" s="49" t="b">
        <v>0</v>
      </c>
      <c r="O249" s="49" t="b">
        <v>0</v>
      </c>
      <c r="P249" s="14" t="s">
        <v>87</v>
      </c>
      <c r="Q249" s="49" t="b">
        <v>0</v>
      </c>
      <c r="R249" s="49" t="b">
        <v>0</v>
      </c>
      <c r="S249" s="15" t="b">
        <v>0</v>
      </c>
      <c r="T249" s="15" t="b">
        <v>0</v>
      </c>
      <c r="U249" s="47"/>
      <c r="V249" s="47"/>
      <c r="W249" s="47" t="s">
        <v>454</v>
      </c>
    </row>
    <row r="250" ht="17.25" customHeight="1">
      <c r="A250" s="47" t="s">
        <v>455</v>
      </c>
      <c r="B250" s="48" t="s">
        <v>456</v>
      </c>
      <c r="C250" s="47" t="s">
        <v>110</v>
      </c>
      <c r="D250" s="47" t="s">
        <v>85</v>
      </c>
      <c r="E250" s="47" t="s">
        <v>75</v>
      </c>
      <c r="F250" s="47" t="s">
        <v>86</v>
      </c>
      <c r="G250" s="47" t="s">
        <v>8</v>
      </c>
      <c r="H250" s="49" t="b">
        <v>1</v>
      </c>
      <c r="I250" s="49" t="b">
        <v>0</v>
      </c>
      <c r="J250" s="49"/>
      <c r="K250" s="49" t="b">
        <v>0</v>
      </c>
      <c r="L250" s="49" t="b">
        <v>0</v>
      </c>
      <c r="M250" s="49" t="b">
        <v>0</v>
      </c>
      <c r="N250" s="49" t="b">
        <v>0</v>
      </c>
      <c r="O250" s="49" t="b">
        <v>0</v>
      </c>
      <c r="P250" s="14" t="s">
        <v>113</v>
      </c>
      <c r="Q250" s="49" t="b">
        <v>0</v>
      </c>
      <c r="R250" s="49" t="b">
        <v>0</v>
      </c>
      <c r="S250" s="15" t="b">
        <v>0</v>
      </c>
      <c r="T250" s="15" t="b">
        <v>0</v>
      </c>
    </row>
    <row r="251" ht="17.25" customHeight="1">
      <c r="A251" s="47" t="s">
        <v>457</v>
      </c>
      <c r="B251" s="48" t="s">
        <v>458</v>
      </c>
      <c r="C251" s="47" t="s">
        <v>84</v>
      </c>
      <c r="D251" s="47" t="s">
        <v>85</v>
      </c>
      <c r="E251" s="47" t="s">
        <v>82</v>
      </c>
      <c r="F251" s="47" t="s">
        <v>86</v>
      </c>
      <c r="G251" s="47" t="s">
        <v>16</v>
      </c>
      <c r="H251" s="49" t="b">
        <v>0</v>
      </c>
      <c r="I251" s="49" t="b">
        <v>0</v>
      </c>
      <c r="J251" s="49" t="b">
        <v>0</v>
      </c>
      <c r="K251" s="49" t="b">
        <v>0</v>
      </c>
      <c r="L251" s="49" t="b">
        <v>0</v>
      </c>
      <c r="M251" s="49" t="b">
        <v>0</v>
      </c>
      <c r="N251" s="49" t="b">
        <v>0</v>
      </c>
      <c r="O251" s="49" t="b">
        <v>0</v>
      </c>
      <c r="P251" s="14" t="s">
        <v>87</v>
      </c>
      <c r="Q251" s="49" t="b">
        <v>0</v>
      </c>
      <c r="R251" s="49" t="b">
        <v>0</v>
      </c>
      <c r="S251" s="15" t="b">
        <v>0</v>
      </c>
      <c r="T251" s="14" t="b">
        <v>0</v>
      </c>
      <c r="U251" s="47"/>
      <c r="V251" s="47"/>
      <c r="W251" s="47"/>
    </row>
    <row r="252" ht="17.25" customHeight="1">
      <c r="A252" s="47" t="s">
        <v>459</v>
      </c>
      <c r="B252" s="48" t="s">
        <v>80</v>
      </c>
      <c r="C252" s="47" t="s">
        <v>95</v>
      </c>
      <c r="D252" s="47" t="s">
        <v>100</v>
      </c>
      <c r="E252" s="47" t="s">
        <v>82</v>
      </c>
      <c r="F252" s="47" t="s">
        <v>76</v>
      </c>
      <c r="G252" s="47" t="s">
        <v>11</v>
      </c>
      <c r="H252" s="49" t="b">
        <v>0</v>
      </c>
      <c r="I252" s="49" t="b">
        <v>0</v>
      </c>
      <c r="J252" s="49" t="b">
        <v>0</v>
      </c>
      <c r="K252" s="49" t="b">
        <v>1</v>
      </c>
      <c r="L252" s="49" t="b">
        <v>0</v>
      </c>
      <c r="M252" s="49" t="b">
        <v>1</v>
      </c>
      <c r="N252" s="49" t="b">
        <v>0</v>
      </c>
      <c r="O252" s="49" t="b">
        <v>0</v>
      </c>
      <c r="P252" s="14" t="s">
        <v>87</v>
      </c>
      <c r="Q252" s="49" t="b">
        <v>1</v>
      </c>
      <c r="R252" s="49" t="b">
        <v>1</v>
      </c>
      <c r="S252" s="15" t="b">
        <v>0</v>
      </c>
      <c r="T252" s="15" t="b">
        <v>0</v>
      </c>
    </row>
    <row r="253" ht="17.25" customHeight="1">
      <c r="A253" s="47" t="s">
        <v>460</v>
      </c>
      <c r="B253" s="48" t="s">
        <v>461</v>
      </c>
      <c r="C253" s="47" t="s">
        <v>73</v>
      </c>
      <c r="D253" s="47" t="s">
        <v>122</v>
      </c>
      <c r="E253" s="47" t="s">
        <v>82</v>
      </c>
      <c r="F253" s="47" t="s">
        <v>76</v>
      </c>
      <c r="G253" s="47" t="s">
        <v>131</v>
      </c>
      <c r="H253" s="49" t="b">
        <v>0</v>
      </c>
      <c r="I253" s="49" t="b">
        <v>1</v>
      </c>
      <c r="J253" s="49"/>
      <c r="K253" s="49" t="b">
        <v>0</v>
      </c>
      <c r="L253" s="49" t="b">
        <v>0</v>
      </c>
      <c r="M253" s="49" t="b">
        <v>0</v>
      </c>
      <c r="N253" s="49"/>
      <c r="O253" s="49" t="b">
        <v>0</v>
      </c>
      <c r="P253" s="14" t="s">
        <v>87</v>
      </c>
      <c r="Q253" s="49" t="b">
        <v>0</v>
      </c>
      <c r="R253" s="49" t="b">
        <v>1</v>
      </c>
      <c r="S253" s="15" t="b">
        <v>0</v>
      </c>
      <c r="T253" s="15" t="b">
        <v>0</v>
      </c>
      <c r="U253" s="47"/>
      <c r="V253" s="47"/>
      <c r="W253" s="47"/>
    </row>
    <row r="254" ht="17.25" customHeight="1">
      <c r="A254" s="47" t="s">
        <v>462</v>
      </c>
      <c r="B254" s="48" t="s">
        <v>72</v>
      </c>
      <c r="C254" s="47" t="s">
        <v>72</v>
      </c>
      <c r="D254" s="47" t="s">
        <v>74</v>
      </c>
      <c r="E254" s="47" t="s">
        <v>82</v>
      </c>
      <c r="F254" s="47" t="s">
        <v>76</v>
      </c>
      <c r="G254" s="47" t="s">
        <v>11</v>
      </c>
      <c r="H254" s="49" t="b">
        <v>0</v>
      </c>
      <c r="I254" s="49" t="b">
        <v>0</v>
      </c>
      <c r="J254" s="49" t="b">
        <v>0</v>
      </c>
      <c r="K254" s="49" t="b">
        <v>0</v>
      </c>
      <c r="L254" s="49" t="b">
        <v>0</v>
      </c>
      <c r="M254" s="49" t="b">
        <v>1</v>
      </c>
      <c r="N254" s="49" t="b">
        <v>0</v>
      </c>
      <c r="O254" s="49" t="b">
        <v>0</v>
      </c>
      <c r="P254" s="14" t="s">
        <v>87</v>
      </c>
      <c r="Q254" s="49" t="b">
        <v>1</v>
      </c>
      <c r="R254" s="49" t="b">
        <v>1</v>
      </c>
      <c r="S254" s="15" t="b">
        <v>0</v>
      </c>
      <c r="T254" s="15" t="b">
        <v>0</v>
      </c>
      <c r="V254" s="14" t="s">
        <v>106</v>
      </c>
    </row>
    <row r="255" ht="17.25" customHeight="1">
      <c r="A255" s="53" t="s">
        <v>463</v>
      </c>
      <c r="B255" s="48" t="s">
        <v>99</v>
      </c>
      <c r="C255" s="47" t="s">
        <v>95</v>
      </c>
      <c r="D255" s="47" t="s">
        <v>74</v>
      </c>
      <c r="E255" s="47" t="s">
        <v>101</v>
      </c>
      <c r="F255" s="47" t="s">
        <v>76</v>
      </c>
      <c r="G255" s="47" t="s">
        <v>11</v>
      </c>
      <c r="H255" s="49" t="b">
        <v>1</v>
      </c>
      <c r="I255" s="49" t="b">
        <v>0</v>
      </c>
      <c r="J255" s="49" t="b">
        <v>0</v>
      </c>
      <c r="K255" s="49" t="b">
        <v>1</v>
      </c>
      <c r="L255" s="49" t="b">
        <v>0</v>
      </c>
      <c r="M255" s="49" t="b">
        <v>1</v>
      </c>
      <c r="N255" s="49" t="b">
        <v>0</v>
      </c>
      <c r="O255" s="49" t="b">
        <v>0</v>
      </c>
      <c r="P255" s="14" t="s">
        <v>87</v>
      </c>
      <c r="Q255" s="49" t="b">
        <v>1</v>
      </c>
      <c r="R255" s="49" t="b">
        <v>1</v>
      </c>
      <c r="S255" s="15" t="b">
        <v>0</v>
      </c>
      <c r="T255" s="15" t="b">
        <v>0</v>
      </c>
      <c r="V255" s="14" t="s">
        <v>106</v>
      </c>
    </row>
    <row r="256" ht="17.25" customHeight="1">
      <c r="A256" s="47" t="s">
        <v>464</v>
      </c>
      <c r="B256" s="48" t="s">
        <v>80</v>
      </c>
      <c r="C256" s="47" t="s">
        <v>84</v>
      </c>
      <c r="D256" s="47" t="s">
        <v>74</v>
      </c>
      <c r="E256" s="47" t="s">
        <v>82</v>
      </c>
      <c r="F256" s="47" t="s">
        <v>86</v>
      </c>
      <c r="G256" s="47" t="s">
        <v>15</v>
      </c>
      <c r="H256" s="49" t="b">
        <v>1</v>
      </c>
      <c r="I256" s="49" t="b">
        <v>1</v>
      </c>
      <c r="J256" s="49" t="s">
        <v>214</v>
      </c>
      <c r="K256" s="49" t="b">
        <v>0</v>
      </c>
      <c r="L256" s="49" t="b">
        <v>0</v>
      </c>
      <c r="M256" s="49" t="b">
        <v>0</v>
      </c>
      <c r="N256" s="49" t="b">
        <v>0</v>
      </c>
      <c r="O256" s="49" t="b">
        <v>0</v>
      </c>
      <c r="P256" s="14" t="s">
        <v>113</v>
      </c>
      <c r="Q256" s="49" t="b">
        <v>0</v>
      </c>
      <c r="R256" s="49" t="b">
        <v>0</v>
      </c>
      <c r="S256" s="15" t="b">
        <v>0</v>
      </c>
      <c r="T256" s="15" t="b">
        <v>0</v>
      </c>
      <c r="U256" s="47" t="s">
        <v>194</v>
      </c>
      <c r="W256" s="47" t="s">
        <v>465</v>
      </c>
    </row>
    <row r="257" ht="17.25" customHeight="1">
      <c r="A257" s="47" t="s">
        <v>466</v>
      </c>
      <c r="B257" s="48" t="s">
        <v>288</v>
      </c>
      <c r="C257" s="47" t="s">
        <v>84</v>
      </c>
      <c r="D257" s="47" t="s">
        <v>85</v>
      </c>
      <c r="E257" s="47" t="s">
        <v>101</v>
      </c>
      <c r="F257" s="47" t="s">
        <v>76</v>
      </c>
      <c r="G257" s="47" t="s">
        <v>15</v>
      </c>
      <c r="H257" s="49" t="b">
        <v>0</v>
      </c>
      <c r="I257" s="49" t="b">
        <v>0</v>
      </c>
      <c r="J257" s="49" t="s">
        <v>242</v>
      </c>
      <c r="K257" s="49" t="b">
        <v>0</v>
      </c>
      <c r="L257" s="49" t="b">
        <v>0</v>
      </c>
      <c r="M257" s="49" t="b">
        <v>0</v>
      </c>
      <c r="N257" s="49" t="b">
        <v>0</v>
      </c>
      <c r="O257" s="49" t="b">
        <v>0</v>
      </c>
      <c r="P257" s="14" t="s">
        <v>87</v>
      </c>
      <c r="Q257" s="49" t="b">
        <v>0</v>
      </c>
      <c r="R257" s="49" t="b">
        <v>0</v>
      </c>
      <c r="S257" s="15" t="b">
        <v>0</v>
      </c>
      <c r="T257" s="15" t="b">
        <v>0</v>
      </c>
      <c r="U257" s="47" t="s">
        <v>215</v>
      </c>
      <c r="V257" s="47"/>
      <c r="W257" s="47" t="s">
        <v>311</v>
      </c>
    </row>
    <row r="258" ht="17.25" customHeight="1">
      <c r="A258" s="76" t="s">
        <v>467</v>
      </c>
      <c r="B258" s="48" t="s">
        <v>94</v>
      </c>
      <c r="C258" s="47" t="s">
        <v>95</v>
      </c>
      <c r="D258" s="47" t="s">
        <v>142</v>
      </c>
      <c r="E258" s="47" t="s">
        <v>75</v>
      </c>
      <c r="F258" s="47" t="s">
        <v>86</v>
      </c>
      <c r="G258" s="47" t="s">
        <v>8</v>
      </c>
      <c r="H258" s="49" t="b">
        <v>0</v>
      </c>
      <c r="I258" s="49" t="b">
        <v>0</v>
      </c>
      <c r="J258" s="49"/>
      <c r="K258" s="49" t="b">
        <v>0</v>
      </c>
      <c r="L258" s="49" t="b">
        <v>0</v>
      </c>
      <c r="M258" s="49" t="b">
        <v>0</v>
      </c>
      <c r="N258" s="49" t="b">
        <v>0</v>
      </c>
      <c r="O258" s="49" t="b">
        <v>1</v>
      </c>
      <c r="P258" s="57"/>
      <c r="Q258" s="49" t="b">
        <v>1</v>
      </c>
      <c r="R258" s="49" t="b">
        <v>0</v>
      </c>
      <c r="V258" s="14" t="s">
        <v>106</v>
      </c>
    </row>
    <row r="259" ht="17.25" customHeight="1">
      <c r="A259" s="47" t="s">
        <v>468</v>
      </c>
      <c r="B259" s="48" t="s">
        <v>99</v>
      </c>
      <c r="C259" s="47" t="s">
        <v>95</v>
      </c>
      <c r="D259" s="47" t="s">
        <v>100</v>
      </c>
      <c r="E259" s="47" t="s">
        <v>101</v>
      </c>
      <c r="F259" s="47" t="s">
        <v>76</v>
      </c>
      <c r="G259" s="47" t="s">
        <v>11</v>
      </c>
      <c r="H259" s="49" t="b">
        <v>1</v>
      </c>
      <c r="I259" s="49" t="b">
        <v>0</v>
      </c>
      <c r="J259" s="49"/>
      <c r="K259" s="49" t="b">
        <v>1</v>
      </c>
      <c r="L259" s="49" t="b">
        <v>1</v>
      </c>
      <c r="M259" s="49" t="b">
        <v>1</v>
      </c>
      <c r="N259" s="49" t="b">
        <v>1</v>
      </c>
      <c r="O259" s="49" t="b">
        <v>0</v>
      </c>
      <c r="P259" s="14" t="s">
        <v>113</v>
      </c>
      <c r="Q259" s="49" t="b">
        <v>1</v>
      </c>
      <c r="R259" s="49" t="b">
        <v>1</v>
      </c>
      <c r="S259" s="15" t="b">
        <v>0</v>
      </c>
      <c r="T259" s="14" t="b">
        <v>1</v>
      </c>
    </row>
    <row r="260" ht="17.25" customHeight="1">
      <c r="A260" s="47" t="s">
        <v>469</v>
      </c>
      <c r="B260" s="48" t="s">
        <v>285</v>
      </c>
      <c r="C260" s="47" t="s">
        <v>73</v>
      </c>
      <c r="D260" s="47" t="s">
        <v>122</v>
      </c>
      <c r="E260" s="47" t="s">
        <v>82</v>
      </c>
      <c r="F260" s="47" t="s">
        <v>86</v>
      </c>
      <c r="G260" s="47" t="s">
        <v>338</v>
      </c>
      <c r="H260" s="49" t="b">
        <v>0</v>
      </c>
      <c r="I260" s="49" t="b">
        <v>0</v>
      </c>
      <c r="J260" s="49"/>
      <c r="K260" s="49" t="b">
        <v>0</v>
      </c>
      <c r="L260" s="49" t="b">
        <v>0</v>
      </c>
      <c r="M260" s="49" t="b">
        <v>0</v>
      </c>
      <c r="N260" s="49" t="b">
        <v>0</v>
      </c>
      <c r="O260" s="49" t="b">
        <v>0</v>
      </c>
      <c r="P260" s="14" t="s">
        <v>87</v>
      </c>
      <c r="Q260" s="49" t="b">
        <v>0</v>
      </c>
      <c r="R260" s="49" t="b">
        <v>0</v>
      </c>
      <c r="S260" s="15" t="b">
        <v>0</v>
      </c>
      <c r="T260" s="15" t="b">
        <v>0</v>
      </c>
      <c r="U260" s="47"/>
      <c r="V260" s="47"/>
      <c r="W260" s="47"/>
    </row>
    <row r="261" ht="17.25" customHeight="1">
      <c r="A261" s="47" t="s">
        <v>470</v>
      </c>
      <c r="B261" s="48" t="s">
        <v>109</v>
      </c>
      <c r="C261" s="47" t="s">
        <v>110</v>
      </c>
      <c r="D261" s="47" t="s">
        <v>205</v>
      </c>
      <c r="E261" s="47" t="s">
        <v>75</v>
      </c>
      <c r="F261" s="47" t="s">
        <v>86</v>
      </c>
      <c r="G261" s="47" t="s">
        <v>8</v>
      </c>
      <c r="H261" s="49" t="b">
        <v>0</v>
      </c>
      <c r="I261" s="49" t="b">
        <v>0</v>
      </c>
      <c r="J261" s="49"/>
      <c r="K261" s="49" t="b">
        <v>0</v>
      </c>
      <c r="L261" s="49" t="b">
        <v>0</v>
      </c>
      <c r="M261" s="49" t="b">
        <v>0</v>
      </c>
      <c r="N261" s="49" t="b">
        <v>0</v>
      </c>
      <c r="O261" s="49" t="b">
        <v>0</v>
      </c>
      <c r="P261" s="14" t="s">
        <v>23</v>
      </c>
      <c r="Q261" s="49" t="b">
        <v>1</v>
      </c>
      <c r="R261" s="49" t="b">
        <v>1</v>
      </c>
      <c r="S261" s="15" t="b">
        <v>0</v>
      </c>
      <c r="T261" s="15" t="b">
        <v>0</v>
      </c>
      <c r="V261" s="14" t="s">
        <v>106</v>
      </c>
    </row>
    <row r="262" ht="17.25" customHeight="1">
      <c r="A262" s="47" t="s">
        <v>471</v>
      </c>
      <c r="B262" s="48" t="s">
        <v>285</v>
      </c>
      <c r="C262" s="47" t="s">
        <v>73</v>
      </c>
      <c r="D262" s="47" t="s">
        <v>90</v>
      </c>
      <c r="E262" s="47" t="s">
        <v>82</v>
      </c>
      <c r="F262" s="47" t="s">
        <v>86</v>
      </c>
      <c r="G262" s="47" t="s">
        <v>247</v>
      </c>
      <c r="H262" s="49" t="b">
        <v>0</v>
      </c>
      <c r="I262" s="49" t="b">
        <v>0</v>
      </c>
      <c r="J262" s="49" t="s">
        <v>472</v>
      </c>
      <c r="K262" s="49" t="b">
        <v>0</v>
      </c>
      <c r="L262" s="49" t="b">
        <v>0</v>
      </c>
      <c r="M262" s="49" t="b">
        <v>0</v>
      </c>
      <c r="N262" s="49" t="b">
        <v>0</v>
      </c>
      <c r="O262" s="49" t="b">
        <v>0</v>
      </c>
      <c r="P262" s="14" t="s">
        <v>113</v>
      </c>
      <c r="Q262" s="49" t="b">
        <v>0</v>
      </c>
      <c r="R262" s="49" t="b">
        <v>0</v>
      </c>
      <c r="S262" s="15" t="b">
        <v>0</v>
      </c>
      <c r="T262" s="15" t="b">
        <v>0</v>
      </c>
      <c r="U262" s="47"/>
      <c r="V262" s="47"/>
      <c r="W262" s="47" t="s">
        <v>473</v>
      </c>
    </row>
    <row r="263" ht="17.25" customHeight="1">
      <c r="A263" s="47" t="s">
        <v>474</v>
      </c>
      <c r="B263" s="48" t="s">
        <v>80</v>
      </c>
      <c r="C263" s="47" t="s">
        <v>84</v>
      </c>
      <c r="D263" s="47" t="s">
        <v>122</v>
      </c>
      <c r="E263" s="47" t="s">
        <v>82</v>
      </c>
      <c r="F263" s="47" t="s">
        <v>86</v>
      </c>
      <c r="G263" s="47" t="s">
        <v>15</v>
      </c>
      <c r="H263" s="49" t="b">
        <v>0</v>
      </c>
      <c r="I263" s="49" t="b">
        <v>0</v>
      </c>
      <c r="J263" s="49" t="s">
        <v>442</v>
      </c>
      <c r="K263" s="49" t="b">
        <v>0</v>
      </c>
      <c r="L263" s="49" t="b">
        <v>0</v>
      </c>
      <c r="M263" s="49" t="b">
        <v>0</v>
      </c>
      <c r="N263" s="49" t="b">
        <v>0</v>
      </c>
      <c r="O263" s="49" t="b">
        <v>0</v>
      </c>
      <c r="P263" s="14" t="s">
        <v>113</v>
      </c>
      <c r="Q263" s="49" t="b">
        <v>0</v>
      </c>
      <c r="R263" s="49" t="b">
        <v>0</v>
      </c>
      <c r="S263" s="15" t="b">
        <v>0</v>
      </c>
      <c r="T263" s="15" t="b">
        <v>0</v>
      </c>
      <c r="U263" s="14" t="s">
        <v>215</v>
      </c>
      <c r="W263" s="14" t="s">
        <v>475</v>
      </c>
    </row>
    <row r="264" ht="17.25" customHeight="1">
      <c r="A264" s="47" t="s">
        <v>476</v>
      </c>
      <c r="B264" s="48" t="s">
        <v>80</v>
      </c>
      <c r="C264" s="47" t="s">
        <v>84</v>
      </c>
      <c r="D264" s="47" t="s">
        <v>85</v>
      </c>
      <c r="E264" s="47" t="s">
        <v>75</v>
      </c>
      <c r="F264" s="47" t="s">
        <v>86</v>
      </c>
      <c r="G264" s="47" t="s">
        <v>16</v>
      </c>
      <c r="H264" s="49" t="b">
        <v>0</v>
      </c>
      <c r="I264" s="49" t="b">
        <v>0</v>
      </c>
      <c r="J264" s="49" t="b">
        <v>0</v>
      </c>
      <c r="K264" s="49" t="b">
        <v>0</v>
      </c>
      <c r="L264" s="49" t="b">
        <v>0</v>
      </c>
      <c r="M264" s="49" t="b">
        <v>0</v>
      </c>
      <c r="N264" s="49" t="b">
        <v>0</v>
      </c>
      <c r="O264" s="49" t="b">
        <v>0</v>
      </c>
      <c r="P264" s="14" t="s">
        <v>87</v>
      </c>
      <c r="Q264" s="49" t="b">
        <v>0</v>
      </c>
      <c r="R264" s="49" t="b">
        <v>0</v>
      </c>
      <c r="S264" s="15" t="b">
        <v>0</v>
      </c>
      <c r="T264" s="14" t="b">
        <v>0</v>
      </c>
      <c r="U264" s="47"/>
      <c r="V264" s="47"/>
      <c r="W264" s="47"/>
      <c r="X264" s="47"/>
      <c r="Y264" s="47"/>
      <c r="Z264" s="47"/>
      <c r="AA264" s="47"/>
      <c r="AB264" s="47"/>
      <c r="AC264" s="47"/>
      <c r="AD264" s="47"/>
      <c r="AE264" s="47"/>
      <c r="AF264" s="47"/>
      <c r="AG264" s="47"/>
      <c r="AH264" s="47"/>
      <c r="AI264" s="47"/>
      <c r="AJ264" s="47"/>
      <c r="AK264" s="47"/>
    </row>
    <row r="265" ht="17.25" customHeight="1">
      <c r="A265" s="53" t="s">
        <v>477</v>
      </c>
      <c r="B265" s="48" t="s">
        <v>94</v>
      </c>
      <c r="C265" s="47" t="s">
        <v>95</v>
      </c>
      <c r="D265" s="47" t="s">
        <v>85</v>
      </c>
      <c r="E265" s="47" t="s">
        <v>75</v>
      </c>
      <c r="F265" s="47" t="s">
        <v>86</v>
      </c>
      <c r="G265" s="47" t="s">
        <v>11</v>
      </c>
      <c r="H265" s="49" t="b">
        <v>1</v>
      </c>
      <c r="I265" s="49" t="b">
        <v>0</v>
      </c>
      <c r="J265" s="49"/>
      <c r="K265" s="49" t="b">
        <v>1</v>
      </c>
      <c r="L265" s="49" t="b">
        <v>1</v>
      </c>
      <c r="M265" s="49" t="b">
        <v>0</v>
      </c>
      <c r="N265" s="49" t="b">
        <v>0</v>
      </c>
      <c r="O265" s="49" t="b">
        <v>0</v>
      </c>
      <c r="P265" s="14" t="s">
        <v>113</v>
      </c>
      <c r="Q265" s="49" t="b">
        <v>1</v>
      </c>
      <c r="R265" s="49" t="b">
        <v>1</v>
      </c>
      <c r="S265" s="15" t="b">
        <v>0</v>
      </c>
      <c r="T265" s="15" t="b">
        <v>0</v>
      </c>
      <c r="W265" s="14" t="s">
        <v>400</v>
      </c>
      <c r="X265" s="47"/>
      <c r="Y265" s="47"/>
      <c r="Z265" s="47"/>
      <c r="AA265" s="47"/>
      <c r="AB265" s="47"/>
      <c r="AC265" s="47"/>
      <c r="AD265" s="47"/>
      <c r="AE265" s="47"/>
      <c r="AF265" s="47"/>
      <c r="AG265" s="47"/>
      <c r="AH265" s="47"/>
      <c r="AI265" s="47"/>
      <c r="AJ265" s="47"/>
      <c r="AK265" s="47"/>
    </row>
    <row r="266" ht="17.25" customHeight="1">
      <c r="A266" s="63" t="s">
        <v>478</v>
      </c>
      <c r="B266" s="48" t="s">
        <v>72</v>
      </c>
      <c r="C266" s="47" t="s">
        <v>72</v>
      </c>
      <c r="D266" s="47" t="s">
        <v>74</v>
      </c>
      <c r="E266" s="47" t="s">
        <v>82</v>
      </c>
      <c r="F266" s="47" t="s">
        <v>76</v>
      </c>
      <c r="G266" s="47" t="s">
        <v>338</v>
      </c>
      <c r="H266" s="49" t="b">
        <v>0</v>
      </c>
      <c r="I266" s="49" t="b">
        <v>0</v>
      </c>
      <c r="J266" s="49"/>
      <c r="K266" s="49" t="b">
        <v>0</v>
      </c>
      <c r="L266" s="49" t="b">
        <v>0</v>
      </c>
      <c r="M266" s="49" t="b">
        <v>1</v>
      </c>
      <c r="N266" s="49" t="b">
        <v>0</v>
      </c>
      <c r="O266" s="49" t="b">
        <v>0</v>
      </c>
      <c r="P266" s="14" t="s">
        <v>113</v>
      </c>
      <c r="Q266" s="49" t="b">
        <v>0</v>
      </c>
      <c r="R266" s="49" t="b">
        <v>1</v>
      </c>
      <c r="S266" s="15" t="b">
        <v>0</v>
      </c>
      <c r="T266" s="15" t="b">
        <v>0</v>
      </c>
      <c r="V266" s="14" t="s">
        <v>106</v>
      </c>
      <c r="W266" s="14" t="s">
        <v>479</v>
      </c>
    </row>
    <row r="267" ht="17.25" customHeight="1">
      <c r="A267" s="47" t="s">
        <v>480</v>
      </c>
      <c r="B267" s="48" t="s">
        <v>72</v>
      </c>
      <c r="C267" s="47" t="s">
        <v>84</v>
      </c>
      <c r="D267" s="48" t="s">
        <v>122</v>
      </c>
      <c r="E267" s="47" t="s">
        <v>75</v>
      </c>
      <c r="F267" s="51" t="s">
        <v>86</v>
      </c>
      <c r="G267" s="48" t="s">
        <v>16</v>
      </c>
      <c r="H267" s="49" t="b">
        <v>0</v>
      </c>
      <c r="I267" s="49" t="b">
        <v>1</v>
      </c>
      <c r="J267" s="52"/>
      <c r="K267" s="52" t="b">
        <v>0</v>
      </c>
      <c r="L267" s="52" t="b">
        <v>0</v>
      </c>
      <c r="M267" s="52" t="b">
        <v>0</v>
      </c>
      <c r="N267" s="52" t="b">
        <v>0</v>
      </c>
      <c r="O267" s="52" t="b">
        <v>0</v>
      </c>
      <c r="P267" s="51"/>
      <c r="Q267" s="52" t="b">
        <v>0</v>
      </c>
      <c r="R267" s="52" t="b">
        <v>0</v>
      </c>
      <c r="S267" s="52" t="b">
        <v>0</v>
      </c>
      <c r="T267" s="52" t="b">
        <v>0</v>
      </c>
      <c r="V267" s="47"/>
      <c r="W267" s="47"/>
      <c r="X267" s="47"/>
      <c r="Y267" s="47"/>
      <c r="Z267" s="47"/>
      <c r="AA267" s="47"/>
      <c r="AB267" s="47"/>
      <c r="AC267" s="47"/>
      <c r="AD267" s="47"/>
      <c r="AE267" s="47"/>
      <c r="AF267" s="47"/>
      <c r="AG267" s="47"/>
      <c r="AH267" s="47"/>
      <c r="AI267" s="47"/>
      <c r="AJ267" s="47"/>
      <c r="AK267" s="47"/>
    </row>
    <row r="268" ht="17.25" customHeight="1">
      <c r="A268" s="79" t="s">
        <v>481</v>
      </c>
      <c r="B268" s="14" t="s">
        <v>72</v>
      </c>
      <c r="C268" s="14" t="s">
        <v>72</v>
      </c>
      <c r="D268" s="14" t="s">
        <v>74</v>
      </c>
      <c r="E268" s="47" t="s">
        <v>75</v>
      </c>
      <c r="F268" s="47" t="s">
        <v>76</v>
      </c>
      <c r="G268" s="47" t="s">
        <v>338</v>
      </c>
      <c r="H268" s="49" t="b">
        <v>0</v>
      </c>
      <c r="I268" s="49" t="b">
        <v>0</v>
      </c>
      <c r="J268" s="49"/>
      <c r="K268" s="49" t="b">
        <v>0</v>
      </c>
      <c r="L268" s="49" t="b">
        <v>0</v>
      </c>
      <c r="M268" s="49" t="b">
        <v>0</v>
      </c>
      <c r="N268" s="49" t="b">
        <v>0</v>
      </c>
      <c r="O268" s="49" t="b">
        <v>0</v>
      </c>
      <c r="P268" s="14" t="s">
        <v>113</v>
      </c>
      <c r="Q268" s="49" t="b">
        <v>0</v>
      </c>
      <c r="R268" s="1"/>
      <c r="V268" s="14" t="s">
        <v>106</v>
      </c>
    </row>
    <row r="269" ht="17.25" customHeight="1">
      <c r="A269" s="50" t="s">
        <v>482</v>
      </c>
      <c r="B269" s="48" t="s">
        <v>72</v>
      </c>
      <c r="C269" s="48" t="s">
        <v>72</v>
      </c>
      <c r="D269" s="47" t="s">
        <v>74</v>
      </c>
      <c r="E269" s="47" t="s">
        <v>96</v>
      </c>
      <c r="F269" s="47" t="s">
        <v>76</v>
      </c>
      <c r="G269" s="47" t="s">
        <v>16</v>
      </c>
      <c r="H269" s="49" t="b">
        <v>0</v>
      </c>
      <c r="I269" s="49" t="b">
        <v>0</v>
      </c>
      <c r="J269" s="49" t="b">
        <v>0</v>
      </c>
      <c r="K269" s="49" t="b">
        <v>0</v>
      </c>
      <c r="L269" s="49" t="b">
        <v>0</v>
      </c>
      <c r="M269" s="49" t="b">
        <v>1</v>
      </c>
      <c r="N269" s="49" t="b">
        <v>0</v>
      </c>
      <c r="O269" s="49" t="b">
        <v>1</v>
      </c>
      <c r="P269" s="14" t="s">
        <v>134</v>
      </c>
      <c r="Q269" s="49" t="b">
        <v>0</v>
      </c>
      <c r="R269" s="49" t="b">
        <v>1</v>
      </c>
      <c r="S269" s="15" t="b">
        <v>0</v>
      </c>
      <c r="T269" s="15" t="b">
        <v>0</v>
      </c>
      <c r="V269" s="14" t="s">
        <v>106</v>
      </c>
      <c r="W269" s="14" t="s">
        <v>356</v>
      </c>
    </row>
    <row r="270" ht="17.25" customHeight="1">
      <c r="A270" s="47" t="s">
        <v>483</v>
      </c>
      <c r="B270" s="48" t="s">
        <v>80</v>
      </c>
      <c r="C270" s="47" t="s">
        <v>84</v>
      </c>
      <c r="D270" s="47" t="s">
        <v>74</v>
      </c>
      <c r="E270" s="47" t="s">
        <v>75</v>
      </c>
      <c r="F270" s="47" t="s">
        <v>76</v>
      </c>
      <c r="G270" s="47" t="s">
        <v>16</v>
      </c>
      <c r="H270" s="49" t="b">
        <v>0</v>
      </c>
      <c r="I270" s="49" t="b">
        <v>0</v>
      </c>
      <c r="J270" s="49" t="b">
        <v>0</v>
      </c>
      <c r="K270" s="49" t="b">
        <v>1</v>
      </c>
      <c r="L270" s="49" t="b">
        <v>0</v>
      </c>
      <c r="M270" s="49" t="b">
        <v>1</v>
      </c>
      <c r="N270" s="49" t="b">
        <v>0</v>
      </c>
      <c r="O270" s="49" t="b">
        <v>0</v>
      </c>
      <c r="P270" s="14" t="s">
        <v>87</v>
      </c>
      <c r="Q270" s="49" t="b">
        <v>1</v>
      </c>
      <c r="R270" s="49" t="b">
        <v>1</v>
      </c>
      <c r="S270" s="15" t="b">
        <v>0</v>
      </c>
      <c r="T270" s="15" t="b">
        <v>0</v>
      </c>
      <c r="V270" s="14" t="s">
        <v>106</v>
      </c>
      <c r="X270" s="47"/>
      <c r="Y270" s="47"/>
      <c r="Z270" s="47"/>
      <c r="AA270" s="47"/>
      <c r="AB270" s="47"/>
      <c r="AC270" s="47"/>
      <c r="AD270" s="47"/>
      <c r="AE270" s="47"/>
      <c r="AF270" s="47"/>
      <c r="AG270" s="47"/>
      <c r="AH270" s="47"/>
      <c r="AI270" s="47"/>
      <c r="AJ270" s="47"/>
      <c r="AK270" s="47"/>
    </row>
    <row r="271" ht="17.25" customHeight="1">
      <c r="A271" s="14" t="s">
        <v>484</v>
      </c>
      <c r="B271" s="48" t="s">
        <v>80</v>
      </c>
      <c r="C271" s="14" t="s">
        <v>73</v>
      </c>
      <c r="D271" s="14" t="s">
        <v>100</v>
      </c>
      <c r="E271" s="47" t="s">
        <v>75</v>
      </c>
      <c r="F271" s="47" t="s">
        <v>76</v>
      </c>
      <c r="G271" s="47" t="s">
        <v>338</v>
      </c>
      <c r="H271" s="49" t="b">
        <v>1</v>
      </c>
      <c r="I271" s="49" t="b">
        <v>0</v>
      </c>
      <c r="J271" s="49"/>
      <c r="K271" s="49" t="b">
        <v>1</v>
      </c>
      <c r="L271" s="49" t="b">
        <v>0</v>
      </c>
      <c r="M271" s="49" t="b">
        <v>0</v>
      </c>
      <c r="N271" s="49" t="b">
        <v>0</v>
      </c>
      <c r="O271" s="49" t="b">
        <v>0</v>
      </c>
      <c r="P271" s="14" t="s">
        <v>113</v>
      </c>
      <c r="Q271" s="49" t="b">
        <v>0</v>
      </c>
      <c r="R271" s="1"/>
    </row>
    <row r="272" ht="17.25" customHeight="1">
      <c r="A272" s="47" t="s">
        <v>485</v>
      </c>
      <c r="B272" s="48" t="s">
        <v>103</v>
      </c>
      <c r="C272" s="48" t="s">
        <v>103</v>
      </c>
      <c r="D272" s="47" t="s">
        <v>100</v>
      </c>
      <c r="E272" s="47" t="s">
        <v>101</v>
      </c>
      <c r="F272" s="47" t="s">
        <v>76</v>
      </c>
      <c r="G272" s="47" t="s">
        <v>10</v>
      </c>
      <c r="H272" s="49" t="b">
        <v>1</v>
      </c>
      <c r="I272" s="49" t="b">
        <v>0</v>
      </c>
      <c r="J272" s="49"/>
      <c r="K272" s="49" t="b">
        <v>1</v>
      </c>
      <c r="L272" s="49" t="b">
        <v>1</v>
      </c>
      <c r="M272" s="49" t="b">
        <v>1</v>
      </c>
      <c r="N272" s="49" t="b">
        <v>0</v>
      </c>
      <c r="O272" s="49" t="b">
        <v>0</v>
      </c>
      <c r="P272" s="14" t="s">
        <v>78</v>
      </c>
      <c r="Q272" s="49" t="b">
        <v>1</v>
      </c>
      <c r="R272" s="49" t="b">
        <v>1</v>
      </c>
      <c r="S272" s="15" t="b">
        <v>0</v>
      </c>
      <c r="T272" s="14" t="b">
        <v>1</v>
      </c>
    </row>
    <row r="273" ht="17.25" customHeight="1">
      <c r="A273" s="58" t="s">
        <v>486</v>
      </c>
      <c r="B273" s="48" t="s">
        <v>72</v>
      </c>
      <c r="C273" s="48" t="s">
        <v>72</v>
      </c>
      <c r="D273" s="47" t="s">
        <v>74</v>
      </c>
      <c r="E273" s="47" t="s">
        <v>75</v>
      </c>
      <c r="F273" s="47" t="s">
        <v>76</v>
      </c>
      <c r="G273" s="47" t="s">
        <v>16</v>
      </c>
      <c r="H273" s="49" t="b">
        <v>1</v>
      </c>
      <c r="I273" s="49" t="b">
        <v>0</v>
      </c>
      <c r="J273" s="49"/>
      <c r="K273" s="49" t="b">
        <v>0</v>
      </c>
      <c r="L273" s="49" t="b">
        <v>0</v>
      </c>
      <c r="M273" s="49" t="b">
        <v>1</v>
      </c>
      <c r="N273" s="49" t="b">
        <v>0</v>
      </c>
      <c r="O273" s="49" t="b">
        <v>0</v>
      </c>
      <c r="P273" s="14" t="s">
        <v>78</v>
      </c>
      <c r="Q273" s="49" t="b">
        <v>0</v>
      </c>
      <c r="R273" s="49" t="b">
        <v>0</v>
      </c>
      <c r="S273" s="15" t="b">
        <v>0</v>
      </c>
      <c r="T273" s="15" t="b">
        <v>0</v>
      </c>
      <c r="V273" s="14"/>
      <c r="W273" s="14"/>
    </row>
    <row r="274" ht="17.25" customHeight="1">
      <c r="A274" s="47" t="s">
        <v>487</v>
      </c>
      <c r="B274" s="48" t="s">
        <v>80</v>
      </c>
      <c r="C274" s="48" t="s">
        <v>84</v>
      </c>
      <c r="D274" s="47" t="s">
        <v>90</v>
      </c>
      <c r="E274" s="47" t="s">
        <v>75</v>
      </c>
      <c r="F274" s="47" t="s">
        <v>86</v>
      </c>
      <c r="G274" s="47" t="s">
        <v>15</v>
      </c>
      <c r="H274" s="49" t="b">
        <v>0</v>
      </c>
      <c r="I274" s="49" t="b">
        <v>0</v>
      </c>
      <c r="J274" s="49" t="s">
        <v>214</v>
      </c>
      <c r="K274" s="49" t="b">
        <v>0</v>
      </c>
      <c r="L274" s="49" t="b">
        <v>0</v>
      </c>
      <c r="M274" s="49" t="b">
        <v>0</v>
      </c>
      <c r="N274" s="49" t="b">
        <v>0</v>
      </c>
      <c r="O274" s="49" t="b">
        <v>0</v>
      </c>
      <c r="P274" s="14" t="s">
        <v>113</v>
      </c>
      <c r="Q274" s="49" t="b">
        <v>0</v>
      </c>
      <c r="R274" s="49" t="b">
        <v>0</v>
      </c>
      <c r="S274" s="15" t="b">
        <v>0</v>
      </c>
      <c r="T274" s="15" t="b">
        <v>0</v>
      </c>
      <c r="U274" s="14" t="s">
        <v>194</v>
      </c>
      <c r="W274" s="14" t="s">
        <v>488</v>
      </c>
    </row>
    <row r="275" ht="17.25" customHeight="1">
      <c r="A275" s="80" t="s">
        <v>489</v>
      </c>
      <c r="B275" s="48" t="s">
        <v>80</v>
      </c>
      <c r="C275" s="48" t="s">
        <v>95</v>
      </c>
      <c r="D275" s="47" t="s">
        <v>74</v>
      </c>
      <c r="E275" s="47" t="s">
        <v>75</v>
      </c>
      <c r="F275" s="47" t="s">
        <v>76</v>
      </c>
      <c r="G275" s="47" t="s">
        <v>16</v>
      </c>
      <c r="H275" s="49" t="b">
        <v>1</v>
      </c>
      <c r="I275" s="49" t="b">
        <v>0</v>
      </c>
      <c r="J275" s="49"/>
      <c r="K275" s="49" t="b">
        <v>0</v>
      </c>
      <c r="L275" s="49" t="b">
        <v>0</v>
      </c>
      <c r="M275" s="49" t="b">
        <v>0</v>
      </c>
      <c r="N275" s="49" t="b">
        <v>0</v>
      </c>
      <c r="O275" s="49" t="b">
        <v>0</v>
      </c>
      <c r="P275" s="14" t="s">
        <v>78</v>
      </c>
      <c r="Q275" s="49" t="b">
        <v>0</v>
      </c>
      <c r="R275" s="49" t="b">
        <v>0</v>
      </c>
      <c r="S275" s="15" t="b">
        <v>0</v>
      </c>
      <c r="T275" s="15" t="b">
        <v>0</v>
      </c>
      <c r="U275" s="47"/>
      <c r="V275" s="47"/>
      <c r="W275" s="47"/>
      <c r="X275" s="47"/>
      <c r="Y275" s="47"/>
      <c r="Z275" s="47"/>
      <c r="AA275" s="47"/>
      <c r="AB275" s="47"/>
      <c r="AC275" s="47"/>
      <c r="AD275" s="47"/>
      <c r="AE275" s="47"/>
      <c r="AF275" s="47"/>
      <c r="AG275" s="47"/>
      <c r="AH275" s="47"/>
      <c r="AI275" s="47"/>
      <c r="AJ275" s="47"/>
      <c r="AK275" s="47"/>
    </row>
    <row r="276" ht="17.25" customHeight="1">
      <c r="A276" s="47" t="s">
        <v>490</v>
      </c>
      <c r="B276" s="48" t="s">
        <v>80</v>
      </c>
      <c r="C276" s="48" t="s">
        <v>110</v>
      </c>
      <c r="D276" s="47" t="s">
        <v>74</v>
      </c>
      <c r="E276" s="47" t="s">
        <v>75</v>
      </c>
      <c r="F276" s="47" t="s">
        <v>76</v>
      </c>
      <c r="G276" s="47" t="s">
        <v>16</v>
      </c>
      <c r="H276" s="49" t="b">
        <v>0</v>
      </c>
      <c r="I276" s="49" t="b">
        <v>0</v>
      </c>
      <c r="J276" s="49"/>
      <c r="K276" s="49" t="b">
        <v>0</v>
      </c>
      <c r="L276" s="49" t="b">
        <v>0</v>
      </c>
      <c r="M276" s="49" t="b">
        <v>0</v>
      </c>
      <c r="N276" s="49" t="b">
        <v>0</v>
      </c>
      <c r="O276" s="49" t="b">
        <v>0</v>
      </c>
      <c r="P276" s="14" t="s">
        <v>78</v>
      </c>
      <c r="Q276" s="49" t="b">
        <v>0</v>
      </c>
      <c r="R276" s="49" t="b">
        <v>0</v>
      </c>
      <c r="S276" s="15" t="b">
        <v>0</v>
      </c>
      <c r="T276" s="15" t="b">
        <v>0</v>
      </c>
      <c r="U276" s="47"/>
      <c r="V276" s="47"/>
      <c r="W276" s="47"/>
      <c r="X276" s="47"/>
      <c r="Y276" s="47"/>
      <c r="Z276" s="47"/>
      <c r="AA276" s="47"/>
      <c r="AB276" s="47"/>
      <c r="AC276" s="47"/>
      <c r="AD276" s="47"/>
      <c r="AE276" s="47"/>
      <c r="AF276" s="47"/>
      <c r="AG276" s="47"/>
      <c r="AH276" s="47"/>
      <c r="AI276" s="47"/>
      <c r="AJ276" s="47"/>
      <c r="AK276" s="47"/>
    </row>
    <row r="277" ht="17.25" customHeight="1">
      <c r="A277" s="47" t="s">
        <v>491</v>
      </c>
      <c r="B277" s="48" t="s">
        <v>80</v>
      </c>
      <c r="C277" s="47" t="s">
        <v>73</v>
      </c>
      <c r="D277" s="47" t="s">
        <v>85</v>
      </c>
      <c r="E277" s="47" t="s">
        <v>82</v>
      </c>
      <c r="F277" s="47" t="s">
        <v>86</v>
      </c>
      <c r="G277" s="47" t="s">
        <v>338</v>
      </c>
      <c r="H277" s="49" t="b">
        <v>0</v>
      </c>
      <c r="I277" s="49" t="b">
        <v>0</v>
      </c>
      <c r="J277" s="49"/>
      <c r="K277" s="49" t="b">
        <v>0</v>
      </c>
      <c r="L277" s="49" t="b">
        <v>0</v>
      </c>
      <c r="M277" s="49" t="b">
        <v>0</v>
      </c>
      <c r="N277" s="49" t="b">
        <v>0</v>
      </c>
      <c r="O277" s="49" t="b">
        <v>0</v>
      </c>
      <c r="P277" s="14" t="s">
        <v>87</v>
      </c>
      <c r="Q277" s="49" t="b">
        <v>0</v>
      </c>
      <c r="R277" s="49" t="b">
        <v>0</v>
      </c>
      <c r="S277" s="15" t="b">
        <v>0</v>
      </c>
      <c r="T277" s="15" t="b">
        <v>0</v>
      </c>
      <c r="V277" s="14"/>
      <c r="W277" s="14"/>
    </row>
    <row r="278" ht="17.25" customHeight="1">
      <c r="A278" s="53" t="s">
        <v>492</v>
      </c>
      <c r="B278" s="48" t="s">
        <v>80</v>
      </c>
      <c r="C278" s="47" t="s">
        <v>95</v>
      </c>
      <c r="D278" s="47" t="s">
        <v>122</v>
      </c>
      <c r="E278" s="47" t="s">
        <v>82</v>
      </c>
      <c r="F278" s="47" t="s">
        <v>86</v>
      </c>
      <c r="G278" s="47" t="s">
        <v>11</v>
      </c>
      <c r="H278" s="49" t="b">
        <v>0</v>
      </c>
      <c r="I278" s="49" t="b">
        <v>1</v>
      </c>
      <c r="J278" s="49"/>
      <c r="K278" s="49" t="b">
        <v>0</v>
      </c>
      <c r="L278" s="49" t="b">
        <v>0</v>
      </c>
      <c r="M278" s="49" t="b">
        <v>1</v>
      </c>
      <c r="N278" s="49" t="b">
        <v>0</v>
      </c>
      <c r="O278" s="49" t="b">
        <v>0</v>
      </c>
      <c r="P278" s="14" t="s">
        <v>23</v>
      </c>
      <c r="Q278" s="49" t="b">
        <v>0</v>
      </c>
      <c r="R278" s="49" t="b">
        <v>0</v>
      </c>
      <c r="S278" s="15" t="b">
        <v>0</v>
      </c>
      <c r="T278" s="15" t="b">
        <v>0</v>
      </c>
      <c r="U278" s="47"/>
      <c r="V278" s="47"/>
      <c r="W278" s="47"/>
    </row>
    <row r="279" ht="17.25" customHeight="1">
      <c r="A279" s="47" t="s">
        <v>493</v>
      </c>
      <c r="B279" s="48" t="s">
        <v>80</v>
      </c>
      <c r="C279" s="47" t="s">
        <v>81</v>
      </c>
      <c r="D279" s="47" t="s">
        <v>74</v>
      </c>
      <c r="E279" s="47" t="s">
        <v>82</v>
      </c>
      <c r="F279" s="47" t="s">
        <v>76</v>
      </c>
      <c r="G279" s="47" t="s">
        <v>16</v>
      </c>
      <c r="H279" s="49" t="b">
        <v>0</v>
      </c>
      <c r="I279" s="49" t="b">
        <v>1</v>
      </c>
      <c r="J279" s="49"/>
      <c r="K279" s="49" t="b">
        <v>0</v>
      </c>
      <c r="L279" s="49" t="b">
        <v>0</v>
      </c>
      <c r="M279" s="49" t="b">
        <v>1</v>
      </c>
      <c r="N279" s="49" t="b">
        <v>0</v>
      </c>
      <c r="O279" s="49" t="b">
        <v>0</v>
      </c>
      <c r="P279" s="14" t="s">
        <v>113</v>
      </c>
      <c r="Q279" s="49" t="b">
        <v>0</v>
      </c>
      <c r="R279" s="49" t="b">
        <v>1</v>
      </c>
      <c r="S279" s="15" t="b">
        <v>0</v>
      </c>
      <c r="T279" s="15" t="b">
        <v>0</v>
      </c>
      <c r="U279" s="47"/>
      <c r="V279" s="47"/>
      <c r="W279" s="47"/>
    </row>
    <row r="280" ht="17.25" customHeight="1">
      <c r="A280" s="50" t="s">
        <v>494</v>
      </c>
      <c r="B280" s="48" t="s">
        <v>72</v>
      </c>
      <c r="C280" s="48" t="s">
        <v>72</v>
      </c>
      <c r="D280" s="47" t="s">
        <v>74</v>
      </c>
      <c r="E280" s="47" t="s">
        <v>96</v>
      </c>
      <c r="F280" s="47" t="s">
        <v>76</v>
      </c>
      <c r="G280" s="47" t="s">
        <v>16</v>
      </c>
      <c r="H280" s="49" t="b">
        <v>0</v>
      </c>
      <c r="I280" s="49" t="b">
        <v>0</v>
      </c>
      <c r="J280" s="49" t="b">
        <v>0</v>
      </c>
      <c r="K280" s="49" t="b">
        <v>0</v>
      </c>
      <c r="L280" s="49" t="b">
        <v>0</v>
      </c>
      <c r="M280" s="49" t="b">
        <v>1</v>
      </c>
      <c r="N280" s="49" t="b">
        <v>0</v>
      </c>
      <c r="O280" s="49" t="b">
        <v>1</v>
      </c>
      <c r="P280" s="14" t="s">
        <v>134</v>
      </c>
      <c r="Q280" s="49" t="b">
        <v>0</v>
      </c>
      <c r="R280" s="49" t="b">
        <v>1</v>
      </c>
      <c r="S280" s="15" t="b">
        <v>0</v>
      </c>
      <c r="T280" s="15" t="b">
        <v>0</v>
      </c>
      <c r="V280" s="14" t="s">
        <v>106</v>
      </c>
      <c r="W280" s="14" t="s">
        <v>495</v>
      </c>
    </row>
    <row r="281" ht="17.25" customHeight="1">
      <c r="A281" s="47" t="s">
        <v>496</v>
      </c>
      <c r="B281" s="48" t="s">
        <v>103</v>
      </c>
      <c r="C281" s="48" t="s">
        <v>103</v>
      </c>
      <c r="D281" s="47" t="s">
        <v>74</v>
      </c>
      <c r="E281" s="47" t="s">
        <v>101</v>
      </c>
      <c r="F281" s="47" t="s">
        <v>76</v>
      </c>
      <c r="G281" s="47" t="s">
        <v>10</v>
      </c>
      <c r="H281" s="49" t="b">
        <v>0</v>
      </c>
      <c r="I281" s="49" t="b">
        <v>0</v>
      </c>
      <c r="J281" s="49"/>
      <c r="K281" s="49" t="b">
        <v>0</v>
      </c>
      <c r="L281" s="49" t="b">
        <v>0</v>
      </c>
      <c r="M281" s="49" t="b">
        <v>1</v>
      </c>
      <c r="N281" s="49" t="b">
        <v>0</v>
      </c>
      <c r="O281" s="49" t="b">
        <v>1</v>
      </c>
      <c r="P281" s="14" t="s">
        <v>23</v>
      </c>
      <c r="Q281" s="49" t="b">
        <v>1</v>
      </c>
      <c r="R281" s="49" t="b">
        <v>1</v>
      </c>
      <c r="S281" s="15" t="b">
        <v>0</v>
      </c>
      <c r="T281" s="15" t="b">
        <v>0</v>
      </c>
      <c r="X281" s="47"/>
      <c r="Y281" s="47"/>
      <c r="Z281" s="47"/>
      <c r="AA281" s="47"/>
      <c r="AB281" s="47"/>
      <c r="AC281" s="47"/>
      <c r="AD281" s="47"/>
      <c r="AE281" s="47"/>
      <c r="AF281" s="47"/>
      <c r="AG281" s="47"/>
      <c r="AH281" s="47"/>
      <c r="AI281" s="47"/>
      <c r="AJ281" s="47"/>
      <c r="AK281" s="47"/>
    </row>
    <row r="282" ht="17.25" customHeight="1">
      <c r="A282" s="58" t="s">
        <v>497</v>
      </c>
      <c r="B282" s="48" t="s">
        <v>72</v>
      </c>
      <c r="C282" s="48" t="s">
        <v>72</v>
      </c>
      <c r="D282" s="47" t="s">
        <v>74</v>
      </c>
      <c r="E282" s="47" t="s">
        <v>75</v>
      </c>
      <c r="F282" s="47" t="s">
        <v>76</v>
      </c>
      <c r="G282" s="47" t="s">
        <v>16</v>
      </c>
      <c r="H282" s="49" t="b">
        <v>0</v>
      </c>
      <c r="I282" s="49" t="b">
        <v>0</v>
      </c>
      <c r="J282" s="49" t="b">
        <v>0</v>
      </c>
      <c r="K282" s="49" t="b">
        <v>0</v>
      </c>
      <c r="L282" s="49" t="b">
        <v>0</v>
      </c>
      <c r="M282" s="49" t="b">
        <v>1</v>
      </c>
      <c r="N282" s="49" t="b">
        <v>0</v>
      </c>
      <c r="O282" s="49" t="b">
        <v>1</v>
      </c>
      <c r="P282" s="14" t="s">
        <v>134</v>
      </c>
      <c r="Q282" s="49" t="b">
        <v>0</v>
      </c>
      <c r="R282" s="49" t="b">
        <v>1</v>
      </c>
      <c r="S282" s="15" t="b">
        <v>0</v>
      </c>
      <c r="T282" s="15" t="b">
        <v>0</v>
      </c>
      <c r="W282" s="14" t="s">
        <v>498</v>
      </c>
    </row>
    <row r="283" ht="17.25" customHeight="1">
      <c r="A283" s="47" t="s">
        <v>499</v>
      </c>
      <c r="B283" s="48" t="s">
        <v>99</v>
      </c>
      <c r="C283" s="47" t="s">
        <v>95</v>
      </c>
      <c r="D283" s="47" t="s">
        <v>100</v>
      </c>
      <c r="E283" s="47" t="s">
        <v>82</v>
      </c>
      <c r="F283" s="47" t="s">
        <v>76</v>
      </c>
      <c r="G283" s="47" t="s">
        <v>11</v>
      </c>
      <c r="H283" s="49" t="b">
        <v>1</v>
      </c>
      <c r="I283" s="49" t="b">
        <v>0</v>
      </c>
      <c r="J283" s="49"/>
      <c r="K283" s="49" t="b">
        <v>0</v>
      </c>
      <c r="L283" s="49" t="b">
        <v>0</v>
      </c>
      <c r="M283" s="49" t="b">
        <v>1</v>
      </c>
      <c r="N283" s="49" t="b">
        <v>0</v>
      </c>
      <c r="O283" s="49" t="b">
        <v>0</v>
      </c>
      <c r="P283" s="14" t="s">
        <v>113</v>
      </c>
      <c r="Q283" s="49" t="b">
        <v>1</v>
      </c>
      <c r="R283" s="49" t="b">
        <v>1</v>
      </c>
      <c r="S283" s="15" t="b">
        <v>0</v>
      </c>
      <c r="T283" s="15" t="b">
        <v>0</v>
      </c>
      <c r="V283" s="14" t="s">
        <v>500</v>
      </c>
    </row>
    <row r="284" ht="17.25" customHeight="1">
      <c r="A284" s="47" t="s">
        <v>501</v>
      </c>
      <c r="B284" s="48" t="s">
        <v>109</v>
      </c>
      <c r="C284" s="47" t="s">
        <v>110</v>
      </c>
      <c r="D284" s="47" t="s">
        <v>100</v>
      </c>
      <c r="E284" s="47" t="s">
        <v>75</v>
      </c>
      <c r="F284" s="47" t="s">
        <v>76</v>
      </c>
      <c r="G284" s="47" t="s">
        <v>8</v>
      </c>
      <c r="H284" s="49" t="b">
        <v>0</v>
      </c>
      <c r="I284" s="49" t="b">
        <v>0</v>
      </c>
      <c r="J284" s="49"/>
      <c r="K284" s="49" t="b">
        <v>1</v>
      </c>
      <c r="L284" s="49" t="b">
        <v>1</v>
      </c>
      <c r="M284" s="49" t="b">
        <v>1</v>
      </c>
      <c r="N284" s="49" t="b">
        <v>1</v>
      </c>
      <c r="O284" s="49" t="b">
        <v>0</v>
      </c>
      <c r="P284" s="14" t="s">
        <v>23</v>
      </c>
      <c r="Q284" s="49" t="b">
        <v>1</v>
      </c>
      <c r="R284" s="49" t="b">
        <v>1</v>
      </c>
      <c r="S284" s="15" t="b">
        <v>0</v>
      </c>
      <c r="T284" s="15" t="b">
        <v>0</v>
      </c>
      <c r="V284" s="14" t="s">
        <v>106</v>
      </c>
      <c r="X284" s="47"/>
      <c r="Y284" s="47"/>
      <c r="Z284" s="47"/>
      <c r="AA284" s="47"/>
      <c r="AB284" s="47"/>
      <c r="AC284" s="47"/>
      <c r="AD284" s="47"/>
      <c r="AE284" s="47"/>
      <c r="AF284" s="47"/>
      <c r="AG284" s="47"/>
      <c r="AH284" s="47"/>
      <c r="AI284" s="47"/>
      <c r="AJ284" s="47"/>
      <c r="AK284" s="47"/>
    </row>
    <row r="285" ht="17.25" customHeight="1">
      <c r="A285" s="47" t="s">
        <v>502</v>
      </c>
      <c r="B285" s="48" t="s">
        <v>94</v>
      </c>
      <c r="C285" s="47" t="s">
        <v>95</v>
      </c>
      <c r="D285" s="47" t="s">
        <v>100</v>
      </c>
      <c r="E285" s="47" t="s">
        <v>82</v>
      </c>
      <c r="F285" s="47" t="s">
        <v>76</v>
      </c>
      <c r="G285" s="47" t="s">
        <v>11</v>
      </c>
      <c r="H285" s="49" t="b">
        <v>1</v>
      </c>
      <c r="I285" s="49" t="b">
        <v>0</v>
      </c>
      <c r="J285" s="49"/>
      <c r="K285" s="49" t="b">
        <v>0</v>
      </c>
      <c r="L285" s="49" t="b">
        <v>0</v>
      </c>
      <c r="M285" s="49" t="b">
        <v>1</v>
      </c>
      <c r="N285" s="49" t="b">
        <v>0</v>
      </c>
      <c r="O285" s="49" t="b">
        <v>0</v>
      </c>
      <c r="P285" s="14" t="s">
        <v>113</v>
      </c>
      <c r="Q285" s="49" t="b">
        <v>1</v>
      </c>
      <c r="R285" s="49" t="b">
        <v>1</v>
      </c>
      <c r="S285" s="15" t="b">
        <v>0</v>
      </c>
      <c r="T285" s="15" t="b">
        <v>0</v>
      </c>
      <c r="V285" s="14" t="s">
        <v>500</v>
      </c>
    </row>
    <row r="286" ht="17.25" customHeight="1">
      <c r="A286" s="47" t="s">
        <v>503</v>
      </c>
      <c r="B286" s="48" t="s">
        <v>80</v>
      </c>
      <c r="C286" s="47" t="s">
        <v>73</v>
      </c>
      <c r="D286" s="47" t="s">
        <v>90</v>
      </c>
      <c r="E286" s="47" t="s">
        <v>82</v>
      </c>
      <c r="F286" s="47" t="s">
        <v>86</v>
      </c>
      <c r="G286" s="47" t="s">
        <v>247</v>
      </c>
      <c r="H286" s="49" t="b">
        <v>0</v>
      </c>
      <c r="I286" s="49" t="b">
        <v>0</v>
      </c>
      <c r="J286" s="49"/>
      <c r="K286" s="49" t="b">
        <v>0</v>
      </c>
      <c r="L286" s="49" t="b">
        <v>0</v>
      </c>
      <c r="M286" s="49" t="b">
        <v>0</v>
      </c>
      <c r="N286" s="49" t="b">
        <v>0</v>
      </c>
      <c r="O286" s="49" t="b">
        <v>0</v>
      </c>
      <c r="P286" s="14" t="s">
        <v>87</v>
      </c>
      <c r="Q286" s="49" t="b">
        <v>0</v>
      </c>
      <c r="R286" s="49" t="b">
        <v>0</v>
      </c>
      <c r="S286" s="15" t="b">
        <v>0</v>
      </c>
      <c r="T286" s="15" t="b">
        <v>0</v>
      </c>
      <c r="V286" s="14" t="s">
        <v>106</v>
      </c>
      <c r="W286" s="14" t="s">
        <v>504</v>
      </c>
    </row>
    <row r="287" ht="17.25" customHeight="1">
      <c r="A287" s="47" t="s">
        <v>505</v>
      </c>
      <c r="B287" s="48" t="s">
        <v>103</v>
      </c>
      <c r="C287" s="48" t="s">
        <v>103</v>
      </c>
      <c r="D287" s="47" t="s">
        <v>100</v>
      </c>
      <c r="E287" s="47" t="s">
        <v>101</v>
      </c>
      <c r="F287" s="47" t="s">
        <v>76</v>
      </c>
      <c r="G287" s="47" t="s">
        <v>10</v>
      </c>
      <c r="H287" s="49" t="b">
        <v>1</v>
      </c>
      <c r="I287" s="49" t="b">
        <v>0</v>
      </c>
      <c r="J287" s="49"/>
      <c r="K287" s="49" t="b">
        <v>1</v>
      </c>
      <c r="L287" s="49" t="b">
        <v>1</v>
      </c>
      <c r="M287" s="49" t="b">
        <v>1</v>
      </c>
      <c r="N287" s="49" t="b">
        <v>0</v>
      </c>
      <c r="O287" s="49" t="b">
        <v>0</v>
      </c>
      <c r="P287" s="14" t="s">
        <v>113</v>
      </c>
      <c r="Q287" s="49" t="b">
        <v>1</v>
      </c>
      <c r="R287" s="49" t="b">
        <v>1</v>
      </c>
      <c r="S287" s="15" t="b">
        <v>0</v>
      </c>
      <c r="T287" s="15" t="b">
        <v>0</v>
      </c>
      <c r="V287" s="14" t="s">
        <v>106</v>
      </c>
    </row>
    <row r="288" ht="17.25" customHeight="1">
      <c r="A288" s="58" t="s">
        <v>506</v>
      </c>
      <c r="B288" s="48" t="s">
        <v>80</v>
      </c>
      <c r="C288" s="47" t="s">
        <v>95</v>
      </c>
      <c r="D288" s="47" t="s">
        <v>142</v>
      </c>
      <c r="E288" s="47" t="s">
        <v>75</v>
      </c>
      <c r="F288" s="47" t="s">
        <v>86</v>
      </c>
      <c r="G288" s="47" t="s">
        <v>21</v>
      </c>
      <c r="H288" s="49" t="b">
        <v>0</v>
      </c>
      <c r="I288" s="49" t="b">
        <v>0</v>
      </c>
      <c r="J288" s="49"/>
      <c r="K288" s="49" t="b">
        <v>1</v>
      </c>
      <c r="L288" s="49" t="b">
        <v>1</v>
      </c>
      <c r="M288" s="49" t="b">
        <v>0</v>
      </c>
      <c r="N288" s="49" t="b">
        <v>0</v>
      </c>
      <c r="O288" s="49" t="b">
        <v>1</v>
      </c>
      <c r="P288" s="57"/>
      <c r="Q288" s="49" t="b">
        <v>1</v>
      </c>
      <c r="R288" s="49" t="b">
        <v>1</v>
      </c>
      <c r="S288" s="15" t="b">
        <v>0</v>
      </c>
      <c r="T288" s="15" t="b">
        <v>0</v>
      </c>
      <c r="X288" s="47"/>
      <c r="Y288" s="47"/>
      <c r="Z288" s="47"/>
      <c r="AA288" s="47"/>
      <c r="AB288" s="47"/>
      <c r="AC288" s="47"/>
      <c r="AD288" s="47"/>
      <c r="AE288" s="47"/>
      <c r="AF288" s="47"/>
      <c r="AG288" s="47"/>
      <c r="AH288" s="47"/>
      <c r="AI288" s="47"/>
      <c r="AJ288" s="47"/>
      <c r="AK288" s="47"/>
    </row>
    <row r="289" ht="17.25" customHeight="1">
      <c r="A289" s="81" t="s">
        <v>507</v>
      </c>
      <c r="B289" s="48" t="s">
        <v>103</v>
      </c>
      <c r="C289" s="48" t="s">
        <v>103</v>
      </c>
      <c r="D289" s="47" t="s">
        <v>100</v>
      </c>
      <c r="E289" s="47" t="s">
        <v>82</v>
      </c>
      <c r="F289" s="47" t="s">
        <v>76</v>
      </c>
      <c r="G289" s="47" t="s">
        <v>10</v>
      </c>
      <c r="H289" s="49" t="b">
        <v>1</v>
      </c>
      <c r="I289" s="49" t="b">
        <v>0</v>
      </c>
      <c r="J289" s="49"/>
      <c r="K289" s="49" t="b">
        <v>1</v>
      </c>
      <c r="L289" s="49" t="b">
        <v>1</v>
      </c>
      <c r="M289" s="49" t="b">
        <v>1</v>
      </c>
      <c r="N289" s="49" t="b">
        <v>1</v>
      </c>
      <c r="O289" s="49" t="b">
        <v>0</v>
      </c>
      <c r="P289" s="14" t="s">
        <v>78</v>
      </c>
      <c r="Q289" s="49" t="b">
        <v>1</v>
      </c>
      <c r="R289" s="49" t="b">
        <v>1</v>
      </c>
      <c r="S289" s="14" t="b">
        <v>1</v>
      </c>
      <c r="T289" s="14" t="b">
        <v>1</v>
      </c>
    </row>
    <row r="290" ht="17.25" customHeight="1">
      <c r="A290" s="58" t="s">
        <v>508</v>
      </c>
      <c r="B290" s="48" t="s">
        <v>103</v>
      </c>
      <c r="C290" s="48" t="s">
        <v>103</v>
      </c>
      <c r="D290" s="47" t="s">
        <v>100</v>
      </c>
      <c r="E290" s="47" t="s">
        <v>75</v>
      </c>
      <c r="F290" s="47" t="s">
        <v>76</v>
      </c>
      <c r="G290" s="47" t="s">
        <v>10</v>
      </c>
      <c r="H290" s="49" t="b">
        <v>1</v>
      </c>
      <c r="I290" s="49" t="b">
        <v>0</v>
      </c>
      <c r="J290" s="49"/>
      <c r="K290" s="49" t="b">
        <v>1</v>
      </c>
      <c r="L290" s="49" t="b">
        <v>1</v>
      </c>
      <c r="M290" s="49" t="b">
        <v>1</v>
      </c>
      <c r="N290" s="49" t="b">
        <v>1</v>
      </c>
      <c r="O290" s="49" t="b">
        <v>0</v>
      </c>
      <c r="P290" s="14" t="s">
        <v>78</v>
      </c>
      <c r="Q290" s="49" t="b">
        <v>1</v>
      </c>
      <c r="R290" s="49" t="b">
        <v>1</v>
      </c>
      <c r="S290" s="14" t="b">
        <v>1</v>
      </c>
      <c r="T290" s="14" t="b">
        <v>1</v>
      </c>
      <c r="W290" s="14" t="s">
        <v>509</v>
      </c>
    </row>
    <row r="291" ht="17.25" customHeight="1">
      <c r="A291" s="47" t="s">
        <v>510</v>
      </c>
      <c r="B291" s="48" t="s">
        <v>103</v>
      </c>
      <c r="C291" s="48" t="s">
        <v>103</v>
      </c>
      <c r="D291" s="47" t="s">
        <v>74</v>
      </c>
      <c r="E291" s="47" t="s">
        <v>82</v>
      </c>
      <c r="F291" s="47" t="s">
        <v>76</v>
      </c>
      <c r="G291" s="47" t="s">
        <v>10</v>
      </c>
      <c r="H291" s="49" t="b">
        <v>0</v>
      </c>
      <c r="I291" s="49" t="b">
        <v>0</v>
      </c>
      <c r="J291" s="49"/>
      <c r="K291" s="49" t="b">
        <v>0</v>
      </c>
      <c r="L291" s="49" t="b">
        <v>0</v>
      </c>
      <c r="M291" s="49" t="b">
        <v>1</v>
      </c>
      <c r="N291" s="49" t="b">
        <v>0</v>
      </c>
      <c r="O291" s="49" t="b">
        <v>1</v>
      </c>
      <c r="P291" s="14" t="s">
        <v>23</v>
      </c>
      <c r="Q291" s="49" t="b">
        <v>1</v>
      </c>
      <c r="R291" s="49" t="b">
        <v>1</v>
      </c>
      <c r="S291" s="15" t="b">
        <v>0</v>
      </c>
      <c r="T291" s="15" t="b">
        <v>0</v>
      </c>
    </row>
    <row r="292" ht="17.25" customHeight="1">
      <c r="A292" s="47" t="s">
        <v>511</v>
      </c>
      <c r="B292" s="48" t="s">
        <v>151</v>
      </c>
      <c r="C292" s="47" t="s">
        <v>95</v>
      </c>
      <c r="D292" s="47" t="s">
        <v>85</v>
      </c>
      <c r="E292" s="47" t="s">
        <v>101</v>
      </c>
      <c r="F292" s="47" t="s">
        <v>86</v>
      </c>
      <c r="G292" s="47" t="s">
        <v>10</v>
      </c>
      <c r="H292" s="49" t="b">
        <v>1</v>
      </c>
      <c r="I292" s="49" t="b">
        <v>0</v>
      </c>
      <c r="J292" s="49"/>
      <c r="K292" s="49" t="b">
        <v>0</v>
      </c>
      <c r="L292" s="49" t="b">
        <v>0</v>
      </c>
      <c r="M292" s="49" t="b">
        <v>0</v>
      </c>
      <c r="N292" s="49" t="b">
        <v>0</v>
      </c>
      <c r="O292" s="49" t="b">
        <v>0</v>
      </c>
      <c r="P292" s="14" t="s">
        <v>113</v>
      </c>
      <c r="Q292" s="49" t="b">
        <v>0</v>
      </c>
      <c r="R292" s="49" t="b">
        <v>0</v>
      </c>
      <c r="S292" s="15" t="b">
        <v>0</v>
      </c>
      <c r="T292" s="15" t="b">
        <v>0</v>
      </c>
    </row>
    <row r="293" ht="17.25" customHeight="1">
      <c r="A293" s="58" t="s">
        <v>512</v>
      </c>
      <c r="B293" s="48" t="s">
        <v>158</v>
      </c>
      <c r="C293" s="47" t="s">
        <v>95</v>
      </c>
      <c r="D293" s="47" t="s">
        <v>85</v>
      </c>
      <c r="E293" s="47" t="s">
        <v>82</v>
      </c>
      <c r="F293" s="47" t="s">
        <v>86</v>
      </c>
      <c r="G293" s="47" t="s">
        <v>11</v>
      </c>
      <c r="H293" s="49" t="b">
        <v>0</v>
      </c>
      <c r="I293" s="49" t="b">
        <v>0</v>
      </c>
      <c r="J293" s="49"/>
      <c r="K293" s="49" t="b">
        <v>0</v>
      </c>
      <c r="L293" s="49" t="b">
        <v>0</v>
      </c>
      <c r="M293" s="49" t="b">
        <v>0</v>
      </c>
      <c r="N293" s="49" t="b">
        <v>0</v>
      </c>
      <c r="O293" s="49" t="b">
        <v>1</v>
      </c>
      <c r="P293" s="14" t="s">
        <v>23</v>
      </c>
      <c r="Q293" s="49" t="b">
        <v>1</v>
      </c>
      <c r="R293" s="49" t="b">
        <v>1</v>
      </c>
      <c r="S293" s="15" t="b">
        <v>0</v>
      </c>
      <c r="T293" s="15" t="b">
        <v>0</v>
      </c>
      <c r="V293" s="14" t="s">
        <v>106</v>
      </c>
    </row>
    <row r="294" ht="17.25" customHeight="1">
      <c r="A294" s="47" t="s">
        <v>513</v>
      </c>
      <c r="B294" s="48" t="s">
        <v>80</v>
      </c>
      <c r="C294" s="47" t="s">
        <v>95</v>
      </c>
      <c r="D294" s="47" t="s">
        <v>100</v>
      </c>
      <c r="E294" s="47" t="s">
        <v>82</v>
      </c>
      <c r="F294" s="47" t="s">
        <v>76</v>
      </c>
      <c r="G294" s="47" t="s">
        <v>11</v>
      </c>
      <c r="H294" s="49" t="b">
        <v>1</v>
      </c>
      <c r="I294" s="49" t="b">
        <v>0</v>
      </c>
      <c r="J294" s="49" t="b">
        <v>0</v>
      </c>
      <c r="K294" s="49" t="b">
        <v>1</v>
      </c>
      <c r="L294" s="49" t="b">
        <v>1</v>
      </c>
      <c r="M294" s="49" t="b">
        <v>1</v>
      </c>
      <c r="N294" s="49" t="b">
        <v>0</v>
      </c>
      <c r="O294" s="49" t="b">
        <v>0</v>
      </c>
      <c r="P294" s="14" t="s">
        <v>87</v>
      </c>
      <c r="Q294" s="49" t="b">
        <v>1</v>
      </c>
      <c r="R294" s="49" t="b">
        <v>1</v>
      </c>
      <c r="S294" s="14" t="b">
        <v>1</v>
      </c>
      <c r="T294" s="15" t="b">
        <v>0</v>
      </c>
      <c r="V294" s="14" t="s">
        <v>106</v>
      </c>
      <c r="X294" s="47"/>
      <c r="Y294" s="47"/>
      <c r="Z294" s="47"/>
      <c r="AA294" s="47"/>
      <c r="AB294" s="47"/>
      <c r="AC294" s="47"/>
      <c r="AD294" s="47"/>
      <c r="AE294" s="47"/>
      <c r="AF294" s="47"/>
      <c r="AG294" s="47"/>
      <c r="AH294" s="47"/>
      <c r="AI294" s="47"/>
      <c r="AJ294" s="47"/>
      <c r="AK294" s="47"/>
    </row>
    <row r="295" ht="17.25" customHeight="1">
      <c r="A295" s="47" t="s">
        <v>514</v>
      </c>
      <c r="B295" s="48" t="s">
        <v>72</v>
      </c>
      <c r="C295" s="47" t="s">
        <v>72</v>
      </c>
      <c r="D295" s="47" t="s">
        <v>74</v>
      </c>
      <c r="E295" s="47" t="s">
        <v>75</v>
      </c>
      <c r="F295" s="47" t="s">
        <v>76</v>
      </c>
      <c r="G295" s="47" t="s">
        <v>10</v>
      </c>
      <c r="H295" s="49" t="b">
        <v>0</v>
      </c>
      <c r="I295" s="49" t="b">
        <v>0</v>
      </c>
      <c r="J295" s="49"/>
      <c r="K295" s="49" t="b">
        <v>0</v>
      </c>
      <c r="L295" s="49" t="b">
        <v>0</v>
      </c>
      <c r="M295" s="49" t="b">
        <v>1</v>
      </c>
      <c r="N295" s="49" t="b">
        <v>0</v>
      </c>
      <c r="O295" s="49" t="b">
        <v>0</v>
      </c>
      <c r="P295" s="14" t="s">
        <v>23</v>
      </c>
      <c r="Q295" s="49" t="b">
        <v>1</v>
      </c>
      <c r="R295" s="49" t="b">
        <v>1</v>
      </c>
      <c r="S295" s="15" t="b">
        <v>0</v>
      </c>
      <c r="T295" s="15" t="b">
        <v>0</v>
      </c>
      <c r="V295" s="14" t="s">
        <v>355</v>
      </c>
      <c r="X295" s="47"/>
      <c r="Y295" s="47"/>
      <c r="Z295" s="47"/>
      <c r="AA295" s="47"/>
      <c r="AB295" s="47"/>
      <c r="AC295" s="47"/>
      <c r="AD295" s="47"/>
      <c r="AE295" s="47"/>
      <c r="AF295" s="47"/>
      <c r="AG295" s="47"/>
      <c r="AH295" s="47"/>
      <c r="AI295" s="47"/>
      <c r="AJ295" s="47"/>
      <c r="AK295" s="47"/>
    </row>
    <row r="296" ht="17.25" customHeight="1">
      <c r="A296" s="47" t="s">
        <v>515</v>
      </c>
      <c r="B296" s="48" t="s">
        <v>72</v>
      </c>
      <c r="C296" s="47" t="s">
        <v>72</v>
      </c>
      <c r="D296" s="47" t="s">
        <v>74</v>
      </c>
      <c r="E296" s="47" t="s">
        <v>82</v>
      </c>
      <c r="F296" s="47" t="s">
        <v>76</v>
      </c>
      <c r="G296" s="47" t="s">
        <v>16</v>
      </c>
      <c r="H296" s="49" t="b">
        <v>0</v>
      </c>
      <c r="I296" s="49" t="b">
        <v>0</v>
      </c>
      <c r="J296" s="49"/>
      <c r="K296" s="49" t="b">
        <v>1</v>
      </c>
      <c r="L296" s="49" t="b">
        <v>0</v>
      </c>
      <c r="M296" s="49" t="b">
        <v>1</v>
      </c>
      <c r="N296" s="49" t="b">
        <v>0</v>
      </c>
      <c r="O296" s="49" t="b">
        <v>0</v>
      </c>
      <c r="P296" s="14" t="s">
        <v>23</v>
      </c>
      <c r="Q296" s="49" t="b">
        <v>1</v>
      </c>
      <c r="R296" s="49" t="b">
        <v>1</v>
      </c>
      <c r="S296" s="15" t="b">
        <v>0</v>
      </c>
      <c r="T296" s="15" t="b">
        <v>0</v>
      </c>
      <c r="V296" s="14" t="s">
        <v>106</v>
      </c>
    </row>
    <row r="297" ht="17.25" customHeight="1">
      <c r="A297" s="50" t="s">
        <v>516</v>
      </c>
      <c r="B297" s="48" t="s">
        <v>288</v>
      </c>
      <c r="C297" s="47" t="s">
        <v>84</v>
      </c>
      <c r="D297" s="47" t="s">
        <v>205</v>
      </c>
      <c r="E297" s="47" t="s">
        <v>82</v>
      </c>
      <c r="F297" s="47" t="s">
        <v>86</v>
      </c>
      <c r="G297" s="47" t="s">
        <v>15</v>
      </c>
      <c r="H297" s="49" t="b">
        <v>0</v>
      </c>
      <c r="I297" s="49" t="b">
        <v>0</v>
      </c>
      <c r="J297" s="49" t="s">
        <v>242</v>
      </c>
      <c r="K297" s="49" t="b">
        <v>0</v>
      </c>
      <c r="L297" s="49" t="b">
        <v>0</v>
      </c>
      <c r="M297" s="49" t="b">
        <v>0</v>
      </c>
      <c r="N297" s="49" t="b">
        <v>0</v>
      </c>
      <c r="O297" s="49" t="b">
        <v>0</v>
      </c>
      <c r="P297" s="14" t="s">
        <v>23</v>
      </c>
      <c r="Q297" s="49" t="b">
        <v>0</v>
      </c>
      <c r="R297" s="49" t="b">
        <v>0</v>
      </c>
      <c r="S297" s="15" t="b">
        <v>0</v>
      </c>
      <c r="T297" s="15" t="b">
        <v>0</v>
      </c>
      <c r="U297" s="47"/>
      <c r="V297" s="47"/>
      <c r="W297" s="47" t="s">
        <v>517</v>
      </c>
    </row>
    <row r="298" ht="17.25" customHeight="1">
      <c r="A298" s="47" t="s">
        <v>518</v>
      </c>
      <c r="B298" s="48" t="s">
        <v>288</v>
      </c>
      <c r="C298" s="47" t="s">
        <v>84</v>
      </c>
      <c r="D298" s="47" t="s">
        <v>74</v>
      </c>
      <c r="E298" s="47" t="s">
        <v>82</v>
      </c>
      <c r="F298" s="47" t="s">
        <v>76</v>
      </c>
      <c r="G298" s="47" t="s">
        <v>15</v>
      </c>
      <c r="H298" s="49" t="b">
        <v>0</v>
      </c>
      <c r="I298" s="49" t="b">
        <v>1</v>
      </c>
      <c r="J298" s="49" t="s">
        <v>214</v>
      </c>
      <c r="K298" s="49" t="b">
        <v>0</v>
      </c>
      <c r="L298" s="49" t="b">
        <v>0</v>
      </c>
      <c r="M298" s="49" t="b">
        <v>0</v>
      </c>
      <c r="N298" s="49" t="b">
        <v>0</v>
      </c>
      <c r="O298" s="49" t="b">
        <v>0</v>
      </c>
      <c r="P298" s="14" t="s">
        <v>87</v>
      </c>
      <c r="Q298" s="49" t="b">
        <v>0</v>
      </c>
      <c r="R298" s="49" t="b">
        <v>0</v>
      </c>
      <c r="S298" s="15" t="b">
        <v>0</v>
      </c>
      <c r="T298" s="15" t="b">
        <v>0</v>
      </c>
      <c r="U298" s="47" t="s">
        <v>215</v>
      </c>
      <c r="V298" s="47"/>
      <c r="W298" s="47" t="s">
        <v>519</v>
      </c>
    </row>
    <row r="299" ht="17.25" customHeight="1">
      <c r="A299" s="50" t="s">
        <v>520</v>
      </c>
      <c r="B299" s="48" t="s">
        <v>80</v>
      </c>
      <c r="C299" s="47" t="s">
        <v>73</v>
      </c>
      <c r="D299" s="47" t="s">
        <v>142</v>
      </c>
      <c r="E299" s="47" t="s">
        <v>82</v>
      </c>
      <c r="F299" s="47" t="s">
        <v>86</v>
      </c>
      <c r="G299" s="47" t="s">
        <v>21</v>
      </c>
      <c r="H299" s="49" t="b">
        <v>0</v>
      </c>
      <c r="I299" s="49" t="b">
        <v>0</v>
      </c>
      <c r="J299" s="49"/>
      <c r="K299" s="49" t="b">
        <v>0</v>
      </c>
      <c r="L299" s="49" t="b">
        <v>0</v>
      </c>
      <c r="M299" s="49" t="b">
        <v>0</v>
      </c>
      <c r="N299" s="49" t="b">
        <v>0</v>
      </c>
      <c r="O299" s="49" t="b">
        <v>0</v>
      </c>
      <c r="P299" s="14" t="s">
        <v>23</v>
      </c>
      <c r="Q299" s="49" t="b">
        <v>1</v>
      </c>
      <c r="R299" s="49" t="b">
        <v>0</v>
      </c>
      <c r="S299" s="15" t="b">
        <v>0</v>
      </c>
      <c r="T299" s="15" t="b">
        <v>0</v>
      </c>
      <c r="W299" s="14" t="s">
        <v>521</v>
      </c>
    </row>
    <row r="300" ht="17.25" customHeight="1">
      <c r="A300" s="63" t="s">
        <v>522</v>
      </c>
      <c r="B300" s="48" t="s">
        <v>523</v>
      </c>
      <c r="C300" s="47" t="s">
        <v>84</v>
      </c>
      <c r="D300" s="47" t="s">
        <v>122</v>
      </c>
      <c r="E300" s="47" t="s">
        <v>82</v>
      </c>
      <c r="F300" s="47" t="s">
        <v>86</v>
      </c>
      <c r="G300" s="47" t="s">
        <v>15</v>
      </c>
      <c r="H300" s="49" t="b">
        <v>0</v>
      </c>
      <c r="I300" s="49" t="b">
        <v>1</v>
      </c>
      <c r="J300" s="49" t="s">
        <v>242</v>
      </c>
      <c r="K300" s="49" t="b">
        <v>0</v>
      </c>
      <c r="L300" s="49" t="b">
        <v>0</v>
      </c>
      <c r="M300" s="49" t="b">
        <v>0</v>
      </c>
      <c r="N300" s="49" t="b">
        <v>0</v>
      </c>
      <c r="O300" s="49" t="b">
        <v>0</v>
      </c>
      <c r="P300" s="14" t="s">
        <v>87</v>
      </c>
      <c r="Q300" s="49" t="b">
        <v>0</v>
      </c>
      <c r="R300" s="49" t="b">
        <v>0</v>
      </c>
      <c r="S300" s="15" t="b">
        <v>0</v>
      </c>
      <c r="T300" s="15" t="b">
        <v>0</v>
      </c>
      <c r="U300" s="47" t="s">
        <v>194</v>
      </c>
      <c r="V300" s="47"/>
      <c r="W300" s="47" t="s">
        <v>524</v>
      </c>
    </row>
    <row r="301" ht="17.25" customHeight="1">
      <c r="A301" s="47" t="s">
        <v>525</v>
      </c>
      <c r="B301" s="48" t="s">
        <v>103</v>
      </c>
      <c r="C301" s="48" t="s">
        <v>103</v>
      </c>
      <c r="D301" s="47" t="s">
        <v>74</v>
      </c>
      <c r="E301" s="47" t="s">
        <v>82</v>
      </c>
      <c r="F301" s="47" t="s">
        <v>86</v>
      </c>
      <c r="G301" s="47" t="s">
        <v>10</v>
      </c>
      <c r="H301" s="49" t="b">
        <v>0</v>
      </c>
      <c r="I301" s="49" t="b">
        <v>0</v>
      </c>
      <c r="J301" s="49"/>
      <c r="K301" s="49" t="b">
        <v>0</v>
      </c>
      <c r="L301" s="49" t="b">
        <v>0</v>
      </c>
      <c r="M301" s="49" t="b">
        <v>0</v>
      </c>
      <c r="N301" s="49" t="b">
        <v>0</v>
      </c>
      <c r="O301" s="49" t="b">
        <v>0</v>
      </c>
      <c r="P301" s="14" t="s">
        <v>23</v>
      </c>
      <c r="Q301" s="49" t="b">
        <v>1</v>
      </c>
      <c r="R301" s="49" t="b">
        <v>0</v>
      </c>
      <c r="S301" s="15" t="b">
        <v>0</v>
      </c>
      <c r="T301" s="15" t="b">
        <v>0</v>
      </c>
      <c r="V301" s="14" t="s">
        <v>106</v>
      </c>
    </row>
    <row r="302" ht="17.25" customHeight="1">
      <c r="A302" s="66" t="s">
        <v>526</v>
      </c>
      <c r="B302" s="48" t="s">
        <v>80</v>
      </c>
      <c r="C302" s="47" t="s">
        <v>84</v>
      </c>
      <c r="D302" s="47" t="s">
        <v>74</v>
      </c>
      <c r="E302" s="47" t="s">
        <v>75</v>
      </c>
      <c r="F302" s="47" t="s">
        <v>76</v>
      </c>
      <c r="G302" s="47" t="s">
        <v>16</v>
      </c>
      <c r="H302" s="49" t="b">
        <v>1</v>
      </c>
      <c r="I302" s="49" t="b">
        <v>0</v>
      </c>
      <c r="J302" s="49" t="b">
        <v>0</v>
      </c>
      <c r="K302" s="49" t="b">
        <v>0</v>
      </c>
      <c r="L302" s="49" t="b">
        <v>0</v>
      </c>
      <c r="M302" s="49" t="b">
        <v>0</v>
      </c>
      <c r="N302" s="49" t="b">
        <v>0</v>
      </c>
      <c r="O302" s="49" t="b">
        <v>0</v>
      </c>
      <c r="P302" s="14" t="s">
        <v>87</v>
      </c>
      <c r="Q302" s="49" t="b">
        <v>0</v>
      </c>
      <c r="R302" s="49" t="b">
        <v>0</v>
      </c>
      <c r="W302" s="14" t="s">
        <v>527</v>
      </c>
    </row>
    <row r="303" ht="17.25" customHeight="1">
      <c r="A303" s="53" t="s">
        <v>528</v>
      </c>
      <c r="B303" s="48" t="s">
        <v>72</v>
      </c>
      <c r="C303" s="47" t="s">
        <v>72</v>
      </c>
      <c r="D303" s="48" t="s">
        <v>122</v>
      </c>
      <c r="E303" s="47" t="s">
        <v>82</v>
      </c>
      <c r="F303" s="51" t="s">
        <v>86</v>
      </c>
      <c r="G303" s="48" t="s">
        <v>11</v>
      </c>
      <c r="H303" s="49" t="b">
        <v>0</v>
      </c>
      <c r="I303" s="49" t="b">
        <v>1</v>
      </c>
      <c r="J303" s="52" t="b">
        <v>0</v>
      </c>
      <c r="K303" s="52" t="b">
        <v>0</v>
      </c>
      <c r="L303" s="52" t="b">
        <v>0</v>
      </c>
      <c r="M303" s="52" t="b">
        <v>0</v>
      </c>
      <c r="N303" s="52" t="b">
        <v>0</v>
      </c>
      <c r="O303" s="52" t="b">
        <v>0</v>
      </c>
      <c r="P303" s="48" t="s">
        <v>87</v>
      </c>
      <c r="Q303" s="52" t="b">
        <v>0</v>
      </c>
      <c r="R303" s="52" t="b">
        <v>0</v>
      </c>
      <c r="S303" s="52" t="b">
        <v>0</v>
      </c>
      <c r="T303" s="52" t="b">
        <v>0</v>
      </c>
      <c r="V303" s="47"/>
      <c r="W303" s="47" t="s">
        <v>529</v>
      </c>
    </row>
    <row r="304" ht="17.25" customHeight="1">
      <c r="A304" s="66" t="s">
        <v>530</v>
      </c>
      <c r="B304" s="48" t="s">
        <v>80</v>
      </c>
      <c r="C304" s="47" t="s">
        <v>84</v>
      </c>
      <c r="D304" s="47" t="s">
        <v>122</v>
      </c>
      <c r="E304" s="47" t="s">
        <v>75</v>
      </c>
      <c r="F304" s="47" t="s">
        <v>86</v>
      </c>
      <c r="G304" s="47" t="s">
        <v>16</v>
      </c>
      <c r="H304" s="49" t="b">
        <v>0</v>
      </c>
      <c r="I304" s="49" t="b">
        <v>1</v>
      </c>
      <c r="J304" s="49" t="b">
        <v>0</v>
      </c>
      <c r="K304" s="49" t="b">
        <v>0</v>
      </c>
      <c r="L304" s="49" t="b">
        <v>0</v>
      </c>
      <c r="M304" s="49" t="b">
        <v>0</v>
      </c>
      <c r="N304" s="49" t="b">
        <v>0</v>
      </c>
      <c r="O304" s="49" t="b">
        <v>0</v>
      </c>
      <c r="P304" s="14" t="s">
        <v>87</v>
      </c>
      <c r="Q304" s="49" t="b">
        <v>0</v>
      </c>
      <c r="R304" s="49" t="b">
        <v>0</v>
      </c>
      <c r="X304" s="47"/>
      <c r="Y304" s="47"/>
      <c r="Z304" s="47"/>
      <c r="AA304" s="47"/>
      <c r="AB304" s="47"/>
      <c r="AC304" s="47"/>
      <c r="AD304" s="47"/>
      <c r="AE304" s="47"/>
      <c r="AF304" s="47"/>
      <c r="AG304" s="47"/>
      <c r="AH304" s="47"/>
      <c r="AI304" s="47"/>
      <c r="AJ304" s="47"/>
      <c r="AK304" s="47"/>
    </row>
    <row r="305" ht="17.25" customHeight="1">
      <c r="A305" s="47" t="s">
        <v>531</v>
      </c>
      <c r="B305" s="48" t="s">
        <v>103</v>
      </c>
      <c r="C305" s="48" t="s">
        <v>103</v>
      </c>
      <c r="D305" s="47" t="s">
        <v>142</v>
      </c>
      <c r="E305" s="47" t="s">
        <v>75</v>
      </c>
      <c r="F305" s="47" t="s">
        <v>86</v>
      </c>
      <c r="G305" s="47" t="s">
        <v>21</v>
      </c>
      <c r="H305" s="49" t="b">
        <v>0</v>
      </c>
      <c r="I305" s="49" t="b">
        <v>0</v>
      </c>
      <c r="J305" s="49"/>
      <c r="K305" s="49" t="b">
        <v>0</v>
      </c>
      <c r="L305" s="49" t="b">
        <v>0</v>
      </c>
      <c r="M305" s="49" t="b">
        <v>0</v>
      </c>
      <c r="N305" s="49" t="b">
        <v>0</v>
      </c>
      <c r="O305" s="49" t="b">
        <v>0</v>
      </c>
      <c r="P305" s="57"/>
      <c r="Q305" s="49" t="b">
        <v>1</v>
      </c>
      <c r="R305" s="49" t="b">
        <v>0</v>
      </c>
      <c r="S305" s="15" t="b">
        <v>0</v>
      </c>
      <c r="T305" s="15" t="b">
        <v>0</v>
      </c>
      <c r="V305" s="14" t="s">
        <v>106</v>
      </c>
      <c r="W305" s="14" t="s">
        <v>532</v>
      </c>
    </row>
    <row r="306" ht="17.25" customHeight="1">
      <c r="A306" s="47" t="s">
        <v>533</v>
      </c>
      <c r="B306" s="48" t="s">
        <v>80</v>
      </c>
      <c r="C306" s="47" t="s">
        <v>95</v>
      </c>
      <c r="D306" s="47" t="s">
        <v>74</v>
      </c>
      <c r="E306" s="47" t="s">
        <v>75</v>
      </c>
      <c r="F306" s="47" t="s">
        <v>76</v>
      </c>
      <c r="G306" s="47" t="s">
        <v>8</v>
      </c>
      <c r="H306" s="49" t="b">
        <v>0</v>
      </c>
      <c r="I306" s="49" t="b">
        <v>0</v>
      </c>
      <c r="J306" s="49"/>
      <c r="K306" s="49" t="b">
        <v>0</v>
      </c>
      <c r="L306" s="49" t="b">
        <v>0</v>
      </c>
      <c r="M306" s="49" t="b">
        <v>1</v>
      </c>
      <c r="N306" s="49" t="b">
        <v>0</v>
      </c>
      <c r="O306" s="49" t="b">
        <v>0</v>
      </c>
      <c r="P306" s="14" t="s">
        <v>23</v>
      </c>
      <c r="Q306" s="49" t="b">
        <v>1</v>
      </c>
      <c r="R306" s="49" t="b">
        <v>1</v>
      </c>
      <c r="S306" s="15" t="b">
        <v>0</v>
      </c>
      <c r="T306" s="15" t="b">
        <v>0</v>
      </c>
      <c r="V306" s="14" t="s">
        <v>106</v>
      </c>
    </row>
    <row r="307" ht="17.25" customHeight="1">
      <c r="A307" s="47" t="s">
        <v>534</v>
      </c>
      <c r="B307" s="48" t="s">
        <v>257</v>
      </c>
      <c r="C307" s="47" t="s">
        <v>84</v>
      </c>
      <c r="D307" s="47" t="s">
        <v>122</v>
      </c>
      <c r="E307" s="47" t="s">
        <v>75</v>
      </c>
      <c r="F307" s="47" t="s">
        <v>86</v>
      </c>
      <c r="G307" s="47" t="s">
        <v>16</v>
      </c>
      <c r="H307" s="49" t="b">
        <v>0</v>
      </c>
      <c r="I307" s="49" t="b">
        <v>0</v>
      </c>
      <c r="J307" s="49" t="b">
        <v>0</v>
      </c>
      <c r="K307" s="49" t="b">
        <v>0</v>
      </c>
      <c r="L307" s="49" t="b">
        <v>0</v>
      </c>
      <c r="M307" s="49" t="b">
        <v>0</v>
      </c>
      <c r="N307" s="49" t="b">
        <v>0</v>
      </c>
      <c r="O307" s="49" t="b">
        <v>0</v>
      </c>
      <c r="P307" s="14" t="s">
        <v>87</v>
      </c>
      <c r="Q307" s="49" t="b">
        <v>0</v>
      </c>
      <c r="R307" s="49" t="b">
        <v>0</v>
      </c>
      <c r="S307" s="15" t="b">
        <v>0</v>
      </c>
      <c r="T307" s="15" t="b">
        <v>0</v>
      </c>
      <c r="U307" s="47"/>
      <c r="V307" s="47"/>
      <c r="W307" s="47"/>
    </row>
    <row r="308" ht="17.25" customHeight="1">
      <c r="A308" s="47" t="s">
        <v>535</v>
      </c>
      <c r="B308" s="48" t="s">
        <v>288</v>
      </c>
      <c r="C308" s="47" t="s">
        <v>84</v>
      </c>
      <c r="D308" s="47" t="s">
        <v>122</v>
      </c>
      <c r="E308" s="47" t="s">
        <v>82</v>
      </c>
      <c r="F308" s="47" t="s">
        <v>76</v>
      </c>
      <c r="G308" s="47" t="s">
        <v>15</v>
      </c>
      <c r="H308" s="49" t="b">
        <v>0</v>
      </c>
      <c r="I308" s="49" t="b">
        <v>1</v>
      </c>
      <c r="J308" s="49" t="s">
        <v>442</v>
      </c>
      <c r="K308" s="49" t="b">
        <v>0</v>
      </c>
      <c r="L308" s="49" t="b">
        <v>0</v>
      </c>
      <c r="M308" s="49" t="b">
        <v>0</v>
      </c>
      <c r="N308" s="49" t="b">
        <v>0</v>
      </c>
      <c r="O308" s="49" t="b">
        <v>0</v>
      </c>
      <c r="P308" s="14" t="s">
        <v>87</v>
      </c>
      <c r="Q308" s="49" t="b">
        <v>0</v>
      </c>
      <c r="R308" s="49" t="b">
        <v>0</v>
      </c>
      <c r="S308" s="15" t="b">
        <v>0</v>
      </c>
      <c r="T308" s="15" t="b">
        <v>0</v>
      </c>
      <c r="U308" s="47" t="s">
        <v>194</v>
      </c>
      <c r="V308" s="47"/>
      <c r="W308" s="47" t="s">
        <v>536</v>
      </c>
    </row>
    <row r="309" ht="17.25" customHeight="1">
      <c r="A309" s="47" t="s">
        <v>537</v>
      </c>
      <c r="B309" s="48" t="s">
        <v>72</v>
      </c>
      <c r="C309" s="47" t="s">
        <v>72</v>
      </c>
      <c r="D309" s="47" t="s">
        <v>122</v>
      </c>
      <c r="E309" s="47" t="s">
        <v>75</v>
      </c>
      <c r="F309" s="47" t="s">
        <v>86</v>
      </c>
      <c r="G309" s="47" t="s">
        <v>16</v>
      </c>
      <c r="H309" s="49" t="b">
        <v>0</v>
      </c>
      <c r="I309" s="49" t="b">
        <v>1</v>
      </c>
      <c r="J309" s="49"/>
      <c r="K309" s="49" t="b">
        <v>0</v>
      </c>
      <c r="L309" s="49" t="b">
        <v>0</v>
      </c>
      <c r="M309" s="49" t="b">
        <v>0</v>
      </c>
      <c r="N309" s="49" t="b">
        <v>0</v>
      </c>
      <c r="O309" s="49" t="b">
        <v>0</v>
      </c>
      <c r="P309" s="14" t="s">
        <v>23</v>
      </c>
      <c r="Q309" s="49" t="b">
        <v>0</v>
      </c>
      <c r="R309" s="49" t="b">
        <v>0</v>
      </c>
      <c r="S309" s="15" t="b">
        <v>0</v>
      </c>
      <c r="T309" s="15" t="b">
        <v>0</v>
      </c>
      <c r="U309" s="47"/>
      <c r="V309" s="47"/>
      <c r="W309" s="47" t="s">
        <v>538</v>
      </c>
    </row>
    <row r="310" ht="17.25" customHeight="1">
      <c r="A310" s="47" t="s">
        <v>539</v>
      </c>
      <c r="B310" s="48" t="s">
        <v>540</v>
      </c>
      <c r="C310" s="47" t="s">
        <v>84</v>
      </c>
      <c r="D310" s="47" t="s">
        <v>85</v>
      </c>
      <c r="E310" s="47" t="s">
        <v>101</v>
      </c>
      <c r="F310" s="47" t="s">
        <v>86</v>
      </c>
      <c r="G310" s="47" t="s">
        <v>15</v>
      </c>
      <c r="H310" s="49" t="b">
        <v>0</v>
      </c>
      <c r="I310" s="49" t="b">
        <v>0</v>
      </c>
      <c r="J310" s="49" t="s">
        <v>242</v>
      </c>
      <c r="K310" s="49" t="b">
        <v>0</v>
      </c>
      <c r="L310" s="49" t="b">
        <v>0</v>
      </c>
      <c r="M310" s="49" t="b">
        <v>0</v>
      </c>
      <c r="N310" s="49" t="b">
        <v>0</v>
      </c>
      <c r="O310" s="49" t="b">
        <v>0</v>
      </c>
      <c r="P310" s="14" t="s">
        <v>23</v>
      </c>
      <c r="Q310" s="49" t="b">
        <v>0</v>
      </c>
      <c r="R310" s="49" t="b">
        <v>0</v>
      </c>
      <c r="S310" s="15" t="b">
        <v>0</v>
      </c>
      <c r="T310" s="14" t="b">
        <v>0</v>
      </c>
      <c r="U310" s="47" t="s">
        <v>194</v>
      </c>
      <c r="V310" s="47"/>
      <c r="W310" s="47" t="s">
        <v>541</v>
      </c>
    </row>
    <row r="311" ht="17.25" customHeight="1">
      <c r="A311" s="47" t="s">
        <v>542</v>
      </c>
      <c r="B311" s="48" t="s">
        <v>103</v>
      </c>
      <c r="C311" s="48" t="s">
        <v>103</v>
      </c>
      <c r="D311" s="47" t="s">
        <v>74</v>
      </c>
      <c r="E311" s="47" t="s">
        <v>101</v>
      </c>
      <c r="F311" s="47" t="s">
        <v>76</v>
      </c>
      <c r="G311" s="47" t="s">
        <v>10</v>
      </c>
      <c r="H311" s="49" t="b">
        <v>0</v>
      </c>
      <c r="I311" s="49" t="b">
        <v>0</v>
      </c>
      <c r="J311" s="49"/>
      <c r="K311" s="49" t="b">
        <v>0</v>
      </c>
      <c r="L311" s="49" t="b">
        <v>0</v>
      </c>
      <c r="M311" s="49" t="b">
        <v>1</v>
      </c>
      <c r="N311" s="49" t="b">
        <v>0</v>
      </c>
      <c r="O311" s="49" t="b">
        <v>0</v>
      </c>
      <c r="P311" s="14" t="s">
        <v>23</v>
      </c>
      <c r="Q311" s="49" t="b">
        <v>1</v>
      </c>
      <c r="R311" s="49" t="b">
        <v>1</v>
      </c>
      <c r="S311" s="15" t="b">
        <v>0</v>
      </c>
      <c r="T311" s="15" t="b">
        <v>0</v>
      </c>
      <c r="V311" s="14" t="s">
        <v>106</v>
      </c>
      <c r="W311" s="14" t="s">
        <v>543</v>
      </c>
    </row>
    <row r="312" ht="17.25" customHeight="1">
      <c r="A312" s="66" t="s">
        <v>544</v>
      </c>
      <c r="B312" s="48" t="s">
        <v>99</v>
      </c>
      <c r="C312" s="47" t="s">
        <v>95</v>
      </c>
      <c r="D312" s="47" t="s">
        <v>142</v>
      </c>
      <c r="E312" s="47" t="s">
        <v>75</v>
      </c>
      <c r="F312" s="47" t="s">
        <v>86</v>
      </c>
      <c r="G312" s="47" t="s">
        <v>21</v>
      </c>
      <c r="H312" s="49" t="b">
        <v>0</v>
      </c>
      <c r="I312" s="49" t="b">
        <v>0</v>
      </c>
      <c r="J312" s="49"/>
      <c r="K312" s="49" t="b">
        <v>0</v>
      </c>
      <c r="L312" s="49" t="b">
        <v>0</v>
      </c>
      <c r="M312" s="49" t="b">
        <v>1</v>
      </c>
      <c r="N312" s="49" t="b">
        <v>0</v>
      </c>
      <c r="O312" s="49" t="b">
        <v>1</v>
      </c>
      <c r="P312" s="57"/>
      <c r="Q312" s="49" t="b">
        <v>1</v>
      </c>
      <c r="R312" s="49" t="b">
        <v>1</v>
      </c>
      <c r="W312" s="14" t="s">
        <v>545</v>
      </c>
    </row>
    <row r="313" ht="17.25" customHeight="1">
      <c r="A313" s="66" t="s">
        <v>546</v>
      </c>
      <c r="B313" s="48" t="s">
        <v>72</v>
      </c>
      <c r="C313" s="48" t="s">
        <v>72</v>
      </c>
      <c r="D313" s="47" t="s">
        <v>122</v>
      </c>
      <c r="E313" s="47" t="s">
        <v>82</v>
      </c>
      <c r="F313" s="47" t="s">
        <v>86</v>
      </c>
      <c r="G313" s="47" t="s">
        <v>16</v>
      </c>
      <c r="H313" s="49" t="b">
        <v>1</v>
      </c>
      <c r="I313" s="49" t="b">
        <v>0</v>
      </c>
      <c r="J313" s="49" t="b">
        <v>0</v>
      </c>
      <c r="K313" s="49" t="b">
        <v>0</v>
      </c>
      <c r="L313" s="49" t="b">
        <v>0</v>
      </c>
      <c r="M313" s="49" t="b">
        <v>0</v>
      </c>
      <c r="N313" s="49" t="b">
        <v>0</v>
      </c>
      <c r="O313" s="49" t="b">
        <v>0</v>
      </c>
      <c r="P313" s="14" t="s">
        <v>87</v>
      </c>
      <c r="Q313" s="49" t="b">
        <v>0</v>
      </c>
      <c r="R313" s="49" t="b">
        <v>0</v>
      </c>
      <c r="W313" s="14" t="s">
        <v>547</v>
      </c>
      <c r="X313" s="47"/>
      <c r="Y313" s="47"/>
      <c r="Z313" s="47"/>
      <c r="AA313" s="47"/>
      <c r="AB313" s="47"/>
      <c r="AC313" s="47"/>
      <c r="AD313" s="47"/>
      <c r="AE313" s="47"/>
      <c r="AF313" s="47"/>
      <c r="AG313" s="47"/>
      <c r="AH313" s="47"/>
      <c r="AI313" s="47"/>
      <c r="AJ313" s="47"/>
      <c r="AK313" s="47"/>
    </row>
    <row r="314" ht="17.25" customHeight="1">
      <c r="A314" s="47" t="s">
        <v>548</v>
      </c>
      <c r="B314" s="48" t="s">
        <v>80</v>
      </c>
      <c r="C314" s="47" t="s">
        <v>84</v>
      </c>
      <c r="D314" s="47" t="s">
        <v>122</v>
      </c>
      <c r="E314" s="47" t="s">
        <v>82</v>
      </c>
      <c r="F314" s="47" t="s">
        <v>86</v>
      </c>
      <c r="G314" s="47" t="s">
        <v>15</v>
      </c>
      <c r="H314" s="49" t="b">
        <v>0</v>
      </c>
      <c r="I314" s="49" t="b">
        <v>1</v>
      </c>
      <c r="J314" s="49" t="s">
        <v>214</v>
      </c>
      <c r="K314" s="49" t="b">
        <v>0</v>
      </c>
      <c r="L314" s="49" t="b">
        <v>0</v>
      </c>
      <c r="M314" s="49" t="b">
        <v>0</v>
      </c>
      <c r="N314" s="49" t="b">
        <v>0</v>
      </c>
      <c r="O314" s="49" t="b">
        <v>0</v>
      </c>
      <c r="P314" s="14" t="s">
        <v>113</v>
      </c>
      <c r="Q314" s="49" t="b">
        <v>0</v>
      </c>
      <c r="R314" s="49" t="b">
        <v>0</v>
      </c>
      <c r="S314" s="15" t="b">
        <v>0</v>
      </c>
      <c r="T314" s="15" t="b">
        <v>0</v>
      </c>
      <c r="U314" s="47" t="s">
        <v>215</v>
      </c>
      <c r="V314" s="47"/>
      <c r="W314" s="47" t="s">
        <v>549</v>
      </c>
    </row>
    <row r="315" ht="17.25" customHeight="1">
      <c r="A315" s="47" t="s">
        <v>550</v>
      </c>
      <c r="B315" s="48" t="s">
        <v>72</v>
      </c>
      <c r="C315" s="47" t="s">
        <v>72</v>
      </c>
      <c r="D315" s="47" t="s">
        <v>85</v>
      </c>
      <c r="E315" s="47" t="s">
        <v>75</v>
      </c>
      <c r="F315" s="47" t="s">
        <v>86</v>
      </c>
      <c r="G315" s="47" t="s">
        <v>16</v>
      </c>
      <c r="H315" s="49" t="b">
        <v>0</v>
      </c>
      <c r="I315" s="49" t="b">
        <v>0</v>
      </c>
      <c r="J315" s="49"/>
      <c r="K315" s="49" t="b">
        <v>0</v>
      </c>
      <c r="L315" s="49" t="b">
        <v>0</v>
      </c>
      <c r="M315" s="49" t="b">
        <v>0</v>
      </c>
      <c r="N315" s="49" t="b">
        <v>0</v>
      </c>
      <c r="O315" s="49" t="b">
        <v>0</v>
      </c>
      <c r="P315" s="14" t="s">
        <v>23</v>
      </c>
      <c r="Q315" s="49" t="b">
        <v>1</v>
      </c>
      <c r="R315" s="49" t="b">
        <v>0</v>
      </c>
      <c r="S315" s="15" t="b">
        <v>0</v>
      </c>
      <c r="T315" s="15" t="b">
        <v>0</v>
      </c>
      <c r="X315" s="47"/>
      <c r="Y315" s="47"/>
      <c r="Z315" s="47"/>
      <c r="AA315" s="47"/>
      <c r="AB315" s="47"/>
      <c r="AC315" s="47"/>
      <c r="AD315" s="47"/>
      <c r="AE315" s="47"/>
      <c r="AF315" s="47"/>
      <c r="AG315" s="47"/>
      <c r="AH315" s="47"/>
      <c r="AI315" s="47"/>
      <c r="AJ315" s="47"/>
      <c r="AK315" s="47"/>
    </row>
    <row r="316" ht="17.25" customHeight="1">
      <c r="A316" s="47" t="s">
        <v>551</v>
      </c>
      <c r="B316" s="48" t="s">
        <v>72</v>
      </c>
      <c r="C316" s="47" t="s">
        <v>72</v>
      </c>
      <c r="D316" s="47" t="s">
        <v>100</v>
      </c>
      <c r="E316" s="47" t="s">
        <v>75</v>
      </c>
      <c r="F316" s="47" t="s">
        <v>76</v>
      </c>
      <c r="G316" s="47" t="s">
        <v>8</v>
      </c>
      <c r="H316" s="49" t="b">
        <v>1</v>
      </c>
      <c r="I316" s="49" t="b">
        <v>0</v>
      </c>
      <c r="J316" s="49"/>
      <c r="K316" s="49" t="b">
        <v>1</v>
      </c>
      <c r="L316" s="49" t="b">
        <v>1</v>
      </c>
      <c r="M316" s="49" t="b">
        <v>1</v>
      </c>
      <c r="N316" s="49" t="b">
        <v>1</v>
      </c>
      <c r="O316" s="49" t="b">
        <v>0</v>
      </c>
      <c r="P316" s="14" t="s">
        <v>78</v>
      </c>
      <c r="Q316" s="49" t="b">
        <v>1</v>
      </c>
      <c r="R316" s="49" t="b">
        <v>1</v>
      </c>
      <c r="S316" s="14" t="b">
        <v>1</v>
      </c>
      <c r="T316" s="14" t="b">
        <v>1</v>
      </c>
    </row>
    <row r="317" ht="17.25" customHeight="1">
      <c r="A317" s="58" t="s">
        <v>552</v>
      </c>
      <c r="B317" s="48" t="s">
        <v>103</v>
      </c>
      <c r="C317" s="48" t="s">
        <v>103</v>
      </c>
      <c r="D317" s="47" t="s">
        <v>100</v>
      </c>
      <c r="E317" s="47" t="s">
        <v>82</v>
      </c>
      <c r="F317" s="47" t="s">
        <v>76</v>
      </c>
      <c r="G317" s="47" t="s">
        <v>10</v>
      </c>
      <c r="H317" s="49" t="b">
        <v>1</v>
      </c>
      <c r="I317" s="49" t="b">
        <v>0</v>
      </c>
      <c r="J317" s="49" t="b">
        <v>0</v>
      </c>
      <c r="K317" s="49" t="b">
        <v>0</v>
      </c>
      <c r="L317" s="49" t="b">
        <v>1</v>
      </c>
      <c r="M317" s="49" t="b">
        <v>0</v>
      </c>
      <c r="N317" s="49" t="b">
        <v>0</v>
      </c>
      <c r="O317" s="49" t="b">
        <v>0</v>
      </c>
      <c r="P317" s="14" t="s">
        <v>87</v>
      </c>
      <c r="Q317" s="49" t="b">
        <v>0</v>
      </c>
      <c r="R317" s="49" t="b">
        <v>0</v>
      </c>
      <c r="S317" s="14" t="b">
        <v>0</v>
      </c>
      <c r="T317" s="14" t="b">
        <v>0</v>
      </c>
      <c r="V317" s="47"/>
      <c r="W317" s="47"/>
    </row>
    <row r="318" ht="17.25" customHeight="1">
      <c r="A318" s="58" t="s">
        <v>553</v>
      </c>
      <c r="B318" s="48" t="s">
        <v>158</v>
      </c>
      <c r="C318" s="47" t="s">
        <v>95</v>
      </c>
      <c r="D318" s="47" t="s">
        <v>74</v>
      </c>
      <c r="E318" s="47" t="s">
        <v>75</v>
      </c>
      <c r="F318" s="47" t="s">
        <v>76</v>
      </c>
      <c r="G318" s="47" t="s">
        <v>8</v>
      </c>
      <c r="H318" s="49" t="b">
        <v>0</v>
      </c>
      <c r="I318" s="49" t="b">
        <v>0</v>
      </c>
      <c r="J318" s="49"/>
      <c r="K318" s="49" t="b">
        <v>0</v>
      </c>
      <c r="L318" s="49" t="b">
        <v>0</v>
      </c>
      <c r="M318" s="49" t="b">
        <v>1</v>
      </c>
      <c r="N318" s="49" t="b">
        <v>0</v>
      </c>
      <c r="O318" s="49" t="b">
        <v>1</v>
      </c>
      <c r="P318" s="14" t="s">
        <v>23</v>
      </c>
      <c r="Q318" s="49" t="b">
        <v>1</v>
      </c>
      <c r="R318" s="49" t="b">
        <v>0</v>
      </c>
      <c r="S318" s="15" t="b">
        <v>0</v>
      </c>
      <c r="T318" s="15" t="b">
        <v>0</v>
      </c>
      <c r="V318" s="14" t="s">
        <v>106</v>
      </c>
      <c r="W318" s="14" t="s">
        <v>554</v>
      </c>
      <c r="X318" s="47"/>
      <c r="Y318" s="47"/>
      <c r="Z318" s="47"/>
      <c r="AA318" s="47"/>
      <c r="AB318" s="47"/>
      <c r="AC318" s="47"/>
      <c r="AD318" s="47"/>
      <c r="AE318" s="47"/>
      <c r="AF318" s="47"/>
      <c r="AG318" s="47"/>
      <c r="AH318" s="47"/>
      <c r="AI318" s="47"/>
      <c r="AJ318" s="47"/>
      <c r="AK318" s="47"/>
    </row>
    <row r="319" ht="17.25" customHeight="1">
      <c r="A319" s="47" t="s">
        <v>555</v>
      </c>
      <c r="B319" s="48" t="s">
        <v>80</v>
      </c>
      <c r="C319" s="47" t="s">
        <v>84</v>
      </c>
      <c r="D319" s="47" t="s">
        <v>74</v>
      </c>
      <c r="E319" s="47" t="s">
        <v>75</v>
      </c>
      <c r="F319" s="47" t="s">
        <v>76</v>
      </c>
      <c r="G319" s="47" t="s">
        <v>16</v>
      </c>
      <c r="H319" s="49" t="b">
        <v>1</v>
      </c>
      <c r="I319" s="49" t="b">
        <v>0</v>
      </c>
      <c r="J319" s="49" t="b">
        <v>0</v>
      </c>
      <c r="K319" s="49" t="b">
        <v>1</v>
      </c>
      <c r="L319" s="49" t="b">
        <v>0</v>
      </c>
      <c r="M319" s="49" t="b">
        <v>1</v>
      </c>
      <c r="N319" s="49" t="b">
        <v>0</v>
      </c>
      <c r="O319" s="49" t="b">
        <v>0</v>
      </c>
      <c r="P319" s="14" t="s">
        <v>87</v>
      </c>
      <c r="Q319" s="49" t="b">
        <v>1</v>
      </c>
      <c r="R319" s="49" t="b">
        <v>1</v>
      </c>
      <c r="S319" s="15" t="b">
        <v>0</v>
      </c>
      <c r="T319" s="15" t="b">
        <v>0</v>
      </c>
      <c r="V319" s="14" t="s">
        <v>106</v>
      </c>
      <c r="W319" s="14" t="s">
        <v>556</v>
      </c>
    </row>
    <row r="320" ht="17.25" customHeight="1">
      <c r="A320" s="47" t="s">
        <v>557</v>
      </c>
      <c r="B320" s="48" t="s">
        <v>80</v>
      </c>
      <c r="C320" s="47" t="s">
        <v>95</v>
      </c>
      <c r="D320" s="47" t="s">
        <v>74</v>
      </c>
      <c r="E320" s="47" t="s">
        <v>75</v>
      </c>
      <c r="F320" s="47" t="s">
        <v>76</v>
      </c>
      <c r="G320" s="47" t="s">
        <v>16</v>
      </c>
      <c r="H320" s="49" t="b">
        <v>0</v>
      </c>
      <c r="I320" s="49" t="b">
        <v>0</v>
      </c>
      <c r="J320" s="49" t="b">
        <v>0</v>
      </c>
      <c r="K320" s="49" t="b">
        <v>0</v>
      </c>
      <c r="L320" s="49" t="b">
        <v>0</v>
      </c>
      <c r="M320" s="49" t="b">
        <v>1</v>
      </c>
      <c r="N320" s="49" t="b">
        <v>0</v>
      </c>
      <c r="O320" s="49" t="b">
        <v>0</v>
      </c>
      <c r="P320" s="14" t="s">
        <v>87</v>
      </c>
      <c r="Q320" s="49" t="b">
        <v>1</v>
      </c>
      <c r="R320" s="49" t="b">
        <v>1</v>
      </c>
      <c r="S320" s="15" t="b">
        <v>0</v>
      </c>
      <c r="T320" s="15" t="b">
        <v>0</v>
      </c>
      <c r="X320" s="47"/>
      <c r="Y320" s="47"/>
      <c r="Z320" s="47"/>
      <c r="AA320" s="47"/>
      <c r="AB320" s="47"/>
      <c r="AC320" s="47"/>
      <c r="AD320" s="47"/>
      <c r="AE320" s="47"/>
      <c r="AF320" s="47"/>
      <c r="AG320" s="47"/>
      <c r="AH320" s="47"/>
      <c r="AI320" s="47"/>
      <c r="AJ320" s="47"/>
      <c r="AK320" s="47"/>
    </row>
    <row r="321" ht="17.25" customHeight="1">
      <c r="A321" s="50" t="s">
        <v>558</v>
      </c>
      <c r="B321" s="48" t="s">
        <v>80</v>
      </c>
      <c r="C321" s="48" t="s">
        <v>73</v>
      </c>
      <c r="D321" s="47" t="s">
        <v>122</v>
      </c>
      <c r="E321" s="47" t="s">
        <v>96</v>
      </c>
      <c r="F321" s="47" t="s">
        <v>86</v>
      </c>
      <c r="G321" s="47" t="s">
        <v>21</v>
      </c>
      <c r="H321" s="49" t="b">
        <v>0</v>
      </c>
      <c r="I321" s="49" t="b">
        <v>0</v>
      </c>
      <c r="J321" s="49"/>
      <c r="K321" s="49" t="b">
        <v>0</v>
      </c>
      <c r="L321" s="49" t="b">
        <v>0</v>
      </c>
      <c r="M321" s="49" t="b">
        <v>0</v>
      </c>
      <c r="N321" s="49" t="b">
        <v>0</v>
      </c>
      <c r="O321" s="49" t="b">
        <v>0</v>
      </c>
      <c r="P321" s="14" t="s">
        <v>23</v>
      </c>
      <c r="Q321" s="49" t="b">
        <v>0</v>
      </c>
      <c r="R321" s="49" t="b">
        <v>0</v>
      </c>
      <c r="S321" s="15" t="b">
        <v>0</v>
      </c>
      <c r="T321" s="15" t="b">
        <v>0</v>
      </c>
      <c r="U321" s="47"/>
      <c r="V321" s="47"/>
      <c r="W321" s="47"/>
    </row>
    <row r="322" ht="17.25" customHeight="1">
      <c r="A322" s="47" t="s">
        <v>559</v>
      </c>
      <c r="B322" s="48" t="s">
        <v>80</v>
      </c>
      <c r="C322" s="47" t="s">
        <v>72</v>
      </c>
      <c r="D322" s="47" t="s">
        <v>90</v>
      </c>
      <c r="E322" s="47" t="s">
        <v>75</v>
      </c>
      <c r="F322" s="47" t="s">
        <v>86</v>
      </c>
      <c r="G322" s="47" t="s">
        <v>16</v>
      </c>
      <c r="H322" s="49" t="b">
        <v>0</v>
      </c>
      <c r="I322" s="49" t="b">
        <v>0</v>
      </c>
      <c r="J322" s="49" t="b">
        <v>0</v>
      </c>
      <c r="K322" s="49" t="b">
        <v>0</v>
      </c>
      <c r="L322" s="49" t="b">
        <v>0</v>
      </c>
      <c r="M322" s="49" t="b">
        <v>0</v>
      </c>
      <c r="N322" s="49" t="b">
        <v>0</v>
      </c>
      <c r="O322" s="49" t="b">
        <v>0</v>
      </c>
      <c r="P322" s="14" t="s">
        <v>87</v>
      </c>
      <c r="Q322" s="49" t="b">
        <v>1</v>
      </c>
      <c r="R322" s="49" t="b">
        <v>1</v>
      </c>
      <c r="S322" s="15" t="b">
        <v>0</v>
      </c>
      <c r="T322" s="15" t="b">
        <v>0</v>
      </c>
      <c r="V322" s="14" t="s">
        <v>106</v>
      </c>
      <c r="W322" s="14" t="s">
        <v>560</v>
      </c>
      <c r="X322" s="47"/>
      <c r="Y322" s="47"/>
      <c r="Z322" s="47"/>
      <c r="AA322" s="47"/>
      <c r="AB322" s="47"/>
      <c r="AC322" s="47"/>
      <c r="AD322" s="47"/>
      <c r="AE322" s="47"/>
      <c r="AF322" s="47"/>
      <c r="AG322" s="47"/>
      <c r="AH322" s="47"/>
      <c r="AI322" s="47"/>
      <c r="AJ322" s="47"/>
      <c r="AK322" s="47"/>
    </row>
    <row r="323" ht="17.25" customHeight="1">
      <c r="A323" s="58" t="s">
        <v>561</v>
      </c>
      <c r="B323" s="48" t="s">
        <v>80</v>
      </c>
      <c r="C323" s="47" t="s">
        <v>72</v>
      </c>
      <c r="D323" s="47" t="s">
        <v>74</v>
      </c>
      <c r="E323" s="47" t="s">
        <v>75</v>
      </c>
      <c r="F323" s="47" t="s">
        <v>76</v>
      </c>
      <c r="G323" s="47" t="s">
        <v>8</v>
      </c>
      <c r="H323" s="49" t="b">
        <v>0</v>
      </c>
      <c r="I323" s="49" t="b">
        <v>0</v>
      </c>
      <c r="J323" s="49"/>
      <c r="K323" s="49" t="b">
        <v>0</v>
      </c>
      <c r="L323" s="49" t="b">
        <v>0</v>
      </c>
      <c r="M323" s="49" t="b">
        <v>0</v>
      </c>
      <c r="N323" s="49" t="b">
        <v>0</v>
      </c>
      <c r="O323" s="49" t="b">
        <v>0</v>
      </c>
      <c r="P323" s="14" t="s">
        <v>113</v>
      </c>
      <c r="Q323" s="49" t="b">
        <v>0</v>
      </c>
      <c r="R323" s="49" t="b">
        <v>0</v>
      </c>
      <c r="S323" s="15" t="b">
        <v>0</v>
      </c>
      <c r="T323" s="15" t="b">
        <v>0</v>
      </c>
    </row>
    <row r="324" ht="17.25" customHeight="1">
      <c r="A324" s="58" t="s">
        <v>562</v>
      </c>
      <c r="B324" s="48" t="s">
        <v>80</v>
      </c>
      <c r="C324" s="47" t="s">
        <v>73</v>
      </c>
      <c r="D324" s="47" t="s">
        <v>74</v>
      </c>
      <c r="E324" s="47" t="s">
        <v>82</v>
      </c>
      <c r="F324" s="47" t="s">
        <v>76</v>
      </c>
      <c r="G324" s="47" t="s">
        <v>338</v>
      </c>
      <c r="H324" s="49" t="b">
        <v>0</v>
      </c>
      <c r="I324" s="49" t="b">
        <v>0</v>
      </c>
      <c r="J324" s="49"/>
      <c r="K324" s="49" t="b">
        <v>0</v>
      </c>
      <c r="L324" s="49" t="b">
        <v>0</v>
      </c>
      <c r="M324" s="49" t="b">
        <v>1</v>
      </c>
      <c r="N324" s="49" t="b">
        <v>0</v>
      </c>
      <c r="O324" s="49" t="b">
        <v>0</v>
      </c>
      <c r="P324" s="14" t="s">
        <v>87</v>
      </c>
      <c r="Q324" s="49" t="b">
        <v>0</v>
      </c>
      <c r="R324" s="49" t="b">
        <v>0</v>
      </c>
      <c r="S324" s="15" t="b">
        <v>0</v>
      </c>
      <c r="T324" s="15" t="b">
        <v>0</v>
      </c>
    </row>
    <row r="325" ht="17.25" customHeight="1">
      <c r="A325" s="47" t="s">
        <v>563</v>
      </c>
      <c r="B325" s="48" t="s">
        <v>80</v>
      </c>
      <c r="C325" s="47" t="s">
        <v>81</v>
      </c>
      <c r="D325" s="47" t="s">
        <v>122</v>
      </c>
      <c r="E325" s="47" t="s">
        <v>75</v>
      </c>
      <c r="F325" s="47" t="s">
        <v>86</v>
      </c>
      <c r="G325" s="47" t="s">
        <v>8</v>
      </c>
      <c r="H325" s="49" t="b">
        <v>0</v>
      </c>
      <c r="I325" s="49" t="b">
        <v>0</v>
      </c>
      <c r="J325" s="49"/>
      <c r="K325" s="49" t="b">
        <v>0</v>
      </c>
      <c r="L325" s="49" t="b">
        <v>0</v>
      </c>
      <c r="M325" s="49" t="b">
        <v>0</v>
      </c>
      <c r="N325" s="49" t="b">
        <v>0</v>
      </c>
      <c r="O325" s="49" t="b">
        <v>0</v>
      </c>
      <c r="P325" s="14" t="s">
        <v>113</v>
      </c>
      <c r="Q325" s="49" t="b">
        <v>0</v>
      </c>
      <c r="R325" s="49" t="b">
        <v>0</v>
      </c>
      <c r="S325" s="15" t="b">
        <v>0</v>
      </c>
      <c r="T325" s="15" t="b">
        <v>0</v>
      </c>
    </row>
    <row r="326" ht="17.25" customHeight="1">
      <c r="A326" s="47" t="s">
        <v>564</v>
      </c>
      <c r="B326" s="48" t="s">
        <v>80</v>
      </c>
      <c r="C326" s="47" t="s">
        <v>84</v>
      </c>
      <c r="D326" s="47" t="s">
        <v>122</v>
      </c>
      <c r="E326" s="47" t="s">
        <v>96</v>
      </c>
      <c r="F326" s="47" t="s">
        <v>86</v>
      </c>
      <c r="G326" s="47" t="s">
        <v>15</v>
      </c>
      <c r="H326" s="49" t="b">
        <v>0</v>
      </c>
      <c r="I326" s="49" t="b">
        <v>1</v>
      </c>
      <c r="J326" s="49" t="s">
        <v>242</v>
      </c>
      <c r="K326" s="49" t="b">
        <v>0</v>
      </c>
      <c r="L326" s="49" t="b">
        <v>0</v>
      </c>
      <c r="M326" s="49" t="b">
        <v>0</v>
      </c>
      <c r="N326" s="49" t="b">
        <v>0</v>
      </c>
      <c r="O326" s="49" t="b">
        <v>0</v>
      </c>
      <c r="P326" s="14" t="s">
        <v>87</v>
      </c>
      <c r="Q326" s="49" t="b">
        <v>0</v>
      </c>
      <c r="R326" s="49" t="b">
        <v>0</v>
      </c>
      <c r="S326" s="15" t="b">
        <v>0</v>
      </c>
      <c r="T326" s="15" t="b">
        <v>0</v>
      </c>
      <c r="U326" s="47" t="s">
        <v>215</v>
      </c>
      <c r="V326" s="47"/>
      <c r="W326" s="47" t="s">
        <v>565</v>
      </c>
      <c r="X326" s="47"/>
      <c r="Y326" s="47"/>
      <c r="Z326" s="47"/>
      <c r="AA326" s="47"/>
      <c r="AB326" s="47"/>
      <c r="AC326" s="47"/>
      <c r="AD326" s="47"/>
      <c r="AE326" s="47"/>
      <c r="AF326" s="47"/>
      <c r="AG326" s="47"/>
      <c r="AH326" s="47"/>
      <c r="AI326" s="47"/>
      <c r="AJ326" s="47"/>
      <c r="AK326" s="47"/>
    </row>
    <row r="327" ht="17.25" customHeight="1">
      <c r="A327" s="47" t="s">
        <v>566</v>
      </c>
      <c r="B327" s="48" t="s">
        <v>288</v>
      </c>
      <c r="C327" s="47" t="s">
        <v>84</v>
      </c>
      <c r="D327" s="47" t="s">
        <v>122</v>
      </c>
      <c r="E327" s="47" t="s">
        <v>82</v>
      </c>
      <c r="F327" s="47" t="s">
        <v>86</v>
      </c>
      <c r="G327" s="47" t="s">
        <v>15</v>
      </c>
      <c r="H327" s="49" t="b">
        <v>0</v>
      </c>
      <c r="I327" s="49" t="b">
        <v>1</v>
      </c>
      <c r="J327" s="49" t="s">
        <v>214</v>
      </c>
      <c r="K327" s="49" t="b">
        <v>0</v>
      </c>
      <c r="L327" s="49" t="b">
        <v>0</v>
      </c>
      <c r="M327" s="49" t="b">
        <v>0</v>
      </c>
      <c r="N327" s="49" t="b">
        <v>0</v>
      </c>
      <c r="O327" s="49" t="b">
        <v>0</v>
      </c>
      <c r="P327" s="14" t="s">
        <v>87</v>
      </c>
      <c r="Q327" s="49" t="b">
        <v>0</v>
      </c>
      <c r="R327" s="49" t="b">
        <v>0</v>
      </c>
      <c r="S327" s="15" t="b">
        <v>0</v>
      </c>
      <c r="T327" s="15" t="b">
        <v>0</v>
      </c>
      <c r="U327" s="47" t="s">
        <v>215</v>
      </c>
      <c r="V327" s="47"/>
      <c r="W327" s="47" t="s">
        <v>567</v>
      </c>
    </row>
    <row r="328" ht="17.25" customHeight="1">
      <c r="A328" s="80" t="s">
        <v>568</v>
      </c>
      <c r="B328" s="48" t="s">
        <v>72</v>
      </c>
      <c r="C328" s="47" t="s">
        <v>72</v>
      </c>
      <c r="D328" s="47" t="s">
        <v>74</v>
      </c>
      <c r="E328" s="47" t="s">
        <v>75</v>
      </c>
      <c r="F328" s="47" t="s">
        <v>76</v>
      </c>
      <c r="G328" s="47" t="s">
        <v>16</v>
      </c>
      <c r="H328" s="49" t="b">
        <v>1</v>
      </c>
      <c r="I328" s="49" t="b">
        <v>0</v>
      </c>
      <c r="J328" s="49"/>
      <c r="K328" s="49" t="b">
        <v>1</v>
      </c>
      <c r="L328" s="49" t="b">
        <v>1</v>
      </c>
      <c r="M328" s="49" t="b">
        <v>1</v>
      </c>
      <c r="N328" s="49" t="b">
        <v>0</v>
      </c>
      <c r="O328" s="49" t="b">
        <v>0</v>
      </c>
      <c r="P328" s="14" t="s">
        <v>113</v>
      </c>
      <c r="Q328" s="49" t="b">
        <v>1</v>
      </c>
      <c r="R328" s="49" t="b">
        <v>1</v>
      </c>
      <c r="S328" s="14" t="b">
        <v>1</v>
      </c>
      <c r="T328" s="15" t="b">
        <v>0</v>
      </c>
      <c r="V328" s="14" t="s">
        <v>106</v>
      </c>
    </row>
    <row r="329" ht="17.25" customHeight="1">
      <c r="A329" s="42" t="s">
        <v>569</v>
      </c>
      <c r="B329" s="48" t="s">
        <v>80</v>
      </c>
      <c r="C329" s="47" t="s">
        <v>72</v>
      </c>
      <c r="D329" s="47" t="s">
        <v>74</v>
      </c>
      <c r="E329" s="47" t="s">
        <v>82</v>
      </c>
      <c r="F329" s="47" t="s">
        <v>86</v>
      </c>
      <c r="G329" s="47" t="s">
        <v>16</v>
      </c>
      <c r="H329" s="49" t="b">
        <v>0</v>
      </c>
      <c r="I329" s="49" t="b">
        <v>0</v>
      </c>
      <c r="J329" s="49"/>
      <c r="K329" s="49" t="b">
        <v>0</v>
      </c>
      <c r="L329" s="49" t="b">
        <v>0</v>
      </c>
      <c r="M329" s="49" t="b">
        <v>0</v>
      </c>
      <c r="N329" s="49" t="b">
        <v>0</v>
      </c>
      <c r="O329" s="49" t="b">
        <v>0</v>
      </c>
      <c r="P329" s="14" t="s">
        <v>87</v>
      </c>
      <c r="Q329" s="49" t="b">
        <v>0</v>
      </c>
      <c r="R329" s="49" t="b">
        <v>0</v>
      </c>
      <c r="S329" s="14" t="b">
        <v>0</v>
      </c>
      <c r="T329" s="15" t="b">
        <v>0</v>
      </c>
      <c r="V329" s="14" t="s">
        <v>106</v>
      </c>
      <c r="X329" s="47"/>
      <c r="Y329" s="47"/>
      <c r="Z329" s="47"/>
      <c r="AA329" s="47"/>
      <c r="AB329" s="47"/>
      <c r="AC329" s="47"/>
      <c r="AD329" s="47"/>
      <c r="AE329" s="47"/>
      <c r="AF329" s="47"/>
      <c r="AG329" s="47"/>
      <c r="AH329" s="47"/>
      <c r="AI329" s="47"/>
      <c r="AJ329" s="47"/>
      <c r="AK329" s="47"/>
    </row>
    <row r="330" ht="17.25" customHeight="1">
      <c r="A330" s="47" t="s">
        <v>570</v>
      </c>
      <c r="B330" s="48" t="s">
        <v>80</v>
      </c>
      <c r="C330" s="47" t="s">
        <v>95</v>
      </c>
      <c r="D330" s="47" t="s">
        <v>100</v>
      </c>
      <c r="E330" s="47" t="s">
        <v>82</v>
      </c>
      <c r="F330" s="47" t="s">
        <v>76</v>
      </c>
      <c r="G330" s="47" t="s">
        <v>11</v>
      </c>
      <c r="H330" s="49" t="b">
        <v>0</v>
      </c>
      <c r="I330" s="49" t="b">
        <v>0</v>
      </c>
      <c r="J330" s="49"/>
      <c r="K330" s="49" t="b">
        <v>1</v>
      </c>
      <c r="L330" s="49" t="b">
        <v>1</v>
      </c>
      <c r="M330" s="49" t="b">
        <v>1</v>
      </c>
      <c r="N330" s="49" t="b">
        <v>1</v>
      </c>
      <c r="O330" s="49" t="b">
        <v>0</v>
      </c>
      <c r="P330" s="14" t="s">
        <v>23</v>
      </c>
      <c r="Q330" s="49" t="b">
        <v>1</v>
      </c>
      <c r="R330" s="49" t="b">
        <v>1</v>
      </c>
      <c r="S330" s="15" t="b">
        <v>0</v>
      </c>
      <c r="T330" s="14" t="b">
        <v>1</v>
      </c>
      <c r="X330" s="47"/>
      <c r="Y330" s="47"/>
      <c r="Z330" s="47"/>
      <c r="AA330" s="47"/>
      <c r="AB330" s="47"/>
      <c r="AC330" s="47"/>
      <c r="AD330" s="47"/>
      <c r="AE330" s="47"/>
      <c r="AF330" s="47"/>
      <c r="AG330" s="47"/>
      <c r="AH330" s="47"/>
      <c r="AI330" s="47"/>
      <c r="AJ330" s="47"/>
      <c r="AK330" s="47"/>
    </row>
    <row r="331" ht="17.25" customHeight="1">
      <c r="A331" s="53" t="s">
        <v>571</v>
      </c>
      <c r="B331" s="48" t="s">
        <v>162</v>
      </c>
      <c r="C331" s="47" t="s">
        <v>95</v>
      </c>
      <c r="D331" s="47" t="s">
        <v>90</v>
      </c>
      <c r="E331" s="47" t="s">
        <v>82</v>
      </c>
      <c r="F331" s="47" t="s">
        <v>86</v>
      </c>
      <c r="G331" s="47" t="s">
        <v>11</v>
      </c>
      <c r="H331" s="49" t="b">
        <v>1</v>
      </c>
      <c r="I331" s="49" t="b">
        <v>0</v>
      </c>
      <c r="J331" s="49"/>
      <c r="K331" s="49" t="b">
        <v>0</v>
      </c>
      <c r="L331" s="49" t="b">
        <v>0</v>
      </c>
      <c r="M331" s="49" t="b">
        <v>0</v>
      </c>
      <c r="N331" s="49" t="b">
        <v>0</v>
      </c>
      <c r="O331" s="49" t="b">
        <v>0</v>
      </c>
      <c r="P331" s="14" t="s">
        <v>113</v>
      </c>
      <c r="Q331" s="49" t="b">
        <v>1</v>
      </c>
      <c r="R331" s="49" t="b">
        <v>1</v>
      </c>
      <c r="S331" s="15" t="b">
        <v>0</v>
      </c>
      <c r="T331" s="15" t="b">
        <v>0</v>
      </c>
      <c r="X331" s="47"/>
      <c r="Y331" s="47"/>
      <c r="Z331" s="47"/>
      <c r="AA331" s="47"/>
      <c r="AB331" s="47"/>
      <c r="AC331" s="47"/>
      <c r="AD331" s="47"/>
      <c r="AE331" s="47"/>
      <c r="AF331" s="47"/>
      <c r="AG331" s="47"/>
      <c r="AH331" s="47"/>
      <c r="AI331" s="47"/>
      <c r="AJ331" s="47"/>
      <c r="AK331" s="47"/>
    </row>
    <row r="332" ht="17.25" customHeight="1">
      <c r="A332" s="53" t="s">
        <v>572</v>
      </c>
      <c r="B332" s="48" t="s">
        <v>72</v>
      </c>
      <c r="C332" s="47" t="s">
        <v>72</v>
      </c>
      <c r="D332" s="47" t="s">
        <v>74</v>
      </c>
      <c r="E332" s="47" t="s">
        <v>75</v>
      </c>
      <c r="F332" s="47" t="s">
        <v>76</v>
      </c>
      <c r="G332" s="47" t="s">
        <v>11</v>
      </c>
      <c r="H332" s="49" t="b">
        <v>0</v>
      </c>
      <c r="I332" s="49" t="b">
        <v>0</v>
      </c>
      <c r="J332" s="49"/>
      <c r="K332" s="49" t="b">
        <v>1</v>
      </c>
      <c r="L332" s="49" t="b">
        <v>0</v>
      </c>
      <c r="M332" s="49" t="b">
        <v>1</v>
      </c>
      <c r="N332" s="49" t="b">
        <v>0</v>
      </c>
      <c r="O332" s="49" t="b">
        <v>0</v>
      </c>
      <c r="P332" s="14" t="s">
        <v>23</v>
      </c>
      <c r="Q332" s="49" t="b">
        <v>1</v>
      </c>
      <c r="R332" s="49" t="b">
        <v>1</v>
      </c>
      <c r="S332" s="15" t="b">
        <v>0</v>
      </c>
      <c r="T332" s="15" t="b">
        <v>0</v>
      </c>
      <c r="V332" s="14" t="s">
        <v>106</v>
      </c>
    </row>
    <row r="333" ht="17.25" customHeight="1">
      <c r="A333" s="48" t="s">
        <v>573</v>
      </c>
      <c r="B333" s="48" t="s">
        <v>317</v>
      </c>
      <c r="C333" s="47" t="s">
        <v>110</v>
      </c>
      <c r="D333" s="47" t="s">
        <v>90</v>
      </c>
      <c r="E333" s="47" t="s">
        <v>75</v>
      </c>
      <c r="F333" s="47" t="s">
        <v>86</v>
      </c>
      <c r="G333" s="47" t="s">
        <v>8</v>
      </c>
      <c r="H333" s="49" t="b">
        <v>1</v>
      </c>
      <c r="I333" s="49" t="b">
        <v>0</v>
      </c>
      <c r="J333" s="49"/>
      <c r="K333" s="49" t="b">
        <v>0</v>
      </c>
      <c r="L333" s="49" t="b">
        <v>0</v>
      </c>
      <c r="M333" s="49" t="b">
        <v>0</v>
      </c>
      <c r="N333" s="49" t="b">
        <v>0</v>
      </c>
      <c r="O333" s="49" t="b">
        <v>0</v>
      </c>
      <c r="P333" s="14" t="s">
        <v>113</v>
      </c>
      <c r="Q333" s="82"/>
      <c r="R333" s="49" t="b">
        <v>0</v>
      </c>
    </row>
    <row r="334" ht="17.25" customHeight="1">
      <c r="A334" s="58" t="s">
        <v>574</v>
      </c>
      <c r="B334" s="48" t="s">
        <v>103</v>
      </c>
      <c r="C334" s="48" t="s">
        <v>103</v>
      </c>
      <c r="D334" s="47" t="s">
        <v>100</v>
      </c>
      <c r="E334" s="47" t="s">
        <v>101</v>
      </c>
      <c r="F334" s="47" t="s">
        <v>76</v>
      </c>
      <c r="G334" s="47" t="s">
        <v>10</v>
      </c>
      <c r="H334" s="49" t="b">
        <v>1</v>
      </c>
      <c r="I334" s="49" t="b">
        <v>0</v>
      </c>
      <c r="J334" s="49"/>
      <c r="K334" s="49" t="b">
        <v>1</v>
      </c>
      <c r="L334" s="49" t="b">
        <v>1</v>
      </c>
      <c r="M334" s="49" t="b">
        <v>1</v>
      </c>
      <c r="N334" s="49" t="b">
        <v>1</v>
      </c>
      <c r="O334" s="49" t="b">
        <v>0</v>
      </c>
      <c r="P334" s="14" t="s">
        <v>113</v>
      </c>
      <c r="Q334" s="49" t="b">
        <v>1</v>
      </c>
      <c r="R334" s="49" t="b">
        <v>1</v>
      </c>
      <c r="S334" s="14" t="b">
        <v>1</v>
      </c>
      <c r="T334" s="15" t="b">
        <v>0</v>
      </c>
      <c r="X334" s="47"/>
      <c r="Y334" s="47"/>
      <c r="Z334" s="47"/>
      <c r="AA334" s="47"/>
      <c r="AB334" s="47"/>
      <c r="AC334" s="47"/>
      <c r="AD334" s="47"/>
      <c r="AE334" s="47"/>
      <c r="AF334" s="47"/>
      <c r="AG334" s="47"/>
      <c r="AH334" s="47"/>
      <c r="AI334" s="47"/>
      <c r="AJ334" s="47"/>
      <c r="AK334" s="47"/>
    </row>
    <row r="335" ht="17.25" customHeight="1">
      <c r="A335" s="58" t="s">
        <v>575</v>
      </c>
      <c r="B335" s="48" t="s">
        <v>103</v>
      </c>
      <c r="C335" s="48" t="s">
        <v>103</v>
      </c>
      <c r="D335" s="47" t="s">
        <v>100</v>
      </c>
      <c r="E335" s="47" t="s">
        <v>75</v>
      </c>
      <c r="F335" s="47" t="s">
        <v>76</v>
      </c>
      <c r="G335" s="47" t="s">
        <v>10</v>
      </c>
      <c r="H335" s="49" t="b">
        <v>0</v>
      </c>
      <c r="I335" s="49" t="b">
        <v>0</v>
      </c>
      <c r="J335" s="49"/>
      <c r="K335" s="49" t="b">
        <v>1</v>
      </c>
      <c r="L335" s="49" t="b">
        <v>1</v>
      </c>
      <c r="M335" s="49" t="b">
        <v>1</v>
      </c>
      <c r="N335" s="49" t="b">
        <v>0</v>
      </c>
      <c r="O335" s="49" t="b">
        <v>0</v>
      </c>
      <c r="P335" s="14" t="s">
        <v>23</v>
      </c>
      <c r="Q335" s="49" t="b">
        <v>1</v>
      </c>
      <c r="R335" s="49" t="b">
        <v>1</v>
      </c>
      <c r="S335" s="14" t="b">
        <v>1</v>
      </c>
      <c r="T335" s="14" t="b">
        <v>1</v>
      </c>
      <c r="X335" s="47"/>
      <c r="Y335" s="47"/>
      <c r="Z335" s="47"/>
      <c r="AA335" s="47"/>
      <c r="AB335" s="47"/>
      <c r="AC335" s="47"/>
      <c r="AD335" s="47"/>
      <c r="AE335" s="47"/>
      <c r="AF335" s="47"/>
      <c r="AG335" s="47"/>
      <c r="AH335" s="47"/>
      <c r="AI335" s="47"/>
      <c r="AJ335" s="47"/>
      <c r="AK335" s="47"/>
    </row>
    <row r="336" ht="17.25" customHeight="1">
      <c r="A336" s="51" t="s">
        <v>576</v>
      </c>
      <c r="B336" s="51" t="s">
        <v>577</v>
      </c>
      <c r="C336" s="51" t="s">
        <v>73</v>
      </c>
      <c r="D336" s="48" t="s">
        <v>122</v>
      </c>
      <c r="E336" s="47" t="s">
        <v>82</v>
      </c>
      <c r="F336" s="51" t="s">
        <v>86</v>
      </c>
      <c r="G336" s="48" t="s">
        <v>131</v>
      </c>
      <c r="H336" s="52" t="b">
        <v>0</v>
      </c>
      <c r="I336" s="52" t="b">
        <v>0</v>
      </c>
      <c r="J336" s="52"/>
      <c r="K336" s="52" t="b">
        <v>0</v>
      </c>
      <c r="L336" s="52" t="b">
        <v>0</v>
      </c>
      <c r="M336" s="52" t="b">
        <v>0</v>
      </c>
      <c r="N336" s="52" t="b">
        <v>0</v>
      </c>
      <c r="O336" s="52" t="b">
        <v>0</v>
      </c>
      <c r="P336" s="48" t="s">
        <v>113</v>
      </c>
      <c r="Q336" s="52" t="b">
        <v>0</v>
      </c>
      <c r="R336" s="52" t="b">
        <v>0</v>
      </c>
      <c r="S336" s="52" t="b">
        <v>0</v>
      </c>
      <c r="T336" s="52" t="b">
        <v>0</v>
      </c>
      <c r="U336" s="47"/>
      <c r="V336" s="47"/>
      <c r="W336" s="47"/>
    </row>
    <row r="337" ht="17.25" customHeight="1">
      <c r="A337" s="53" t="s">
        <v>578</v>
      </c>
      <c r="B337" s="48" t="s">
        <v>80</v>
      </c>
      <c r="C337" s="47" t="s">
        <v>95</v>
      </c>
      <c r="D337" s="47" t="s">
        <v>74</v>
      </c>
      <c r="E337" s="47" t="s">
        <v>75</v>
      </c>
      <c r="F337" s="47" t="s">
        <v>76</v>
      </c>
      <c r="G337" s="47" t="s">
        <v>11</v>
      </c>
      <c r="H337" s="49" t="b">
        <v>0</v>
      </c>
      <c r="I337" s="49" t="b">
        <v>0</v>
      </c>
      <c r="J337" s="49"/>
      <c r="K337" s="49" t="b">
        <v>0</v>
      </c>
      <c r="L337" s="49" t="b">
        <v>0</v>
      </c>
      <c r="M337" s="49" t="b">
        <v>0</v>
      </c>
      <c r="N337" s="49" t="b">
        <v>0</v>
      </c>
      <c r="O337" s="49" t="b">
        <v>0</v>
      </c>
      <c r="P337" s="14" t="s">
        <v>23</v>
      </c>
      <c r="Q337" s="49" t="b">
        <v>1</v>
      </c>
      <c r="R337" s="49" t="b">
        <v>1</v>
      </c>
      <c r="S337" s="15" t="b">
        <v>0</v>
      </c>
      <c r="T337" s="15" t="b">
        <v>0</v>
      </c>
      <c r="V337" s="14" t="s">
        <v>106</v>
      </c>
    </row>
    <row r="338" ht="17.25" customHeight="1">
      <c r="A338" s="58" t="s">
        <v>579</v>
      </c>
      <c r="B338" s="48" t="s">
        <v>317</v>
      </c>
      <c r="C338" s="47" t="s">
        <v>110</v>
      </c>
      <c r="D338" s="47" t="s">
        <v>90</v>
      </c>
      <c r="E338" s="47" t="s">
        <v>75</v>
      </c>
      <c r="F338" s="47" t="s">
        <v>86</v>
      </c>
      <c r="G338" s="47" t="s">
        <v>8</v>
      </c>
      <c r="H338" s="49" t="b">
        <v>1</v>
      </c>
      <c r="I338" s="49" t="b">
        <v>0</v>
      </c>
      <c r="J338" s="49"/>
      <c r="K338" s="49" t="b">
        <v>0</v>
      </c>
      <c r="L338" s="49" t="b">
        <v>0</v>
      </c>
      <c r="M338" s="49" t="b">
        <v>0</v>
      </c>
      <c r="N338" s="49" t="b">
        <v>0</v>
      </c>
      <c r="O338" s="49" t="b">
        <v>0</v>
      </c>
      <c r="P338" s="14" t="s">
        <v>113</v>
      </c>
      <c r="Q338" s="49" t="b">
        <v>0</v>
      </c>
      <c r="R338" s="49" t="b">
        <v>0</v>
      </c>
      <c r="S338" s="15" t="b">
        <v>0</v>
      </c>
      <c r="T338" s="15" t="b">
        <v>0</v>
      </c>
    </row>
    <row r="339" ht="17.25" customHeight="1">
      <c r="A339" s="58" t="s">
        <v>580</v>
      </c>
      <c r="B339" s="48" t="s">
        <v>72</v>
      </c>
      <c r="C339" s="47" t="s">
        <v>72</v>
      </c>
      <c r="D339" s="47" t="s">
        <v>100</v>
      </c>
      <c r="E339" s="47" t="s">
        <v>101</v>
      </c>
      <c r="F339" s="47" t="s">
        <v>76</v>
      </c>
      <c r="G339" s="47" t="s">
        <v>11</v>
      </c>
      <c r="H339" s="49" t="b">
        <v>0</v>
      </c>
      <c r="I339" s="49" t="b">
        <v>0</v>
      </c>
      <c r="J339" s="49"/>
      <c r="K339" s="49" t="b">
        <v>0</v>
      </c>
      <c r="L339" s="49" t="b">
        <v>0</v>
      </c>
      <c r="M339" s="49" t="b">
        <v>0</v>
      </c>
      <c r="N339" s="49" t="b">
        <v>0</v>
      </c>
      <c r="O339" s="49" t="b">
        <v>0</v>
      </c>
      <c r="P339" s="14" t="s">
        <v>23</v>
      </c>
      <c r="Q339" s="49" t="b">
        <v>0</v>
      </c>
      <c r="R339" s="49" t="b">
        <v>0</v>
      </c>
      <c r="S339" s="15" t="b">
        <v>0</v>
      </c>
      <c r="T339" s="15" t="b">
        <v>0</v>
      </c>
    </row>
    <row r="340" ht="17.25" customHeight="1">
      <c r="A340" s="47" t="s">
        <v>580</v>
      </c>
      <c r="B340" s="48" t="s">
        <v>288</v>
      </c>
      <c r="C340" s="47" t="s">
        <v>84</v>
      </c>
      <c r="D340" s="47" t="s">
        <v>85</v>
      </c>
      <c r="E340" s="47" t="s">
        <v>101</v>
      </c>
      <c r="F340" s="47" t="s">
        <v>86</v>
      </c>
      <c r="G340" s="47" t="s">
        <v>15</v>
      </c>
      <c r="H340" s="49" t="b">
        <v>0</v>
      </c>
      <c r="I340" s="49" t="b">
        <v>0</v>
      </c>
      <c r="J340" s="49" t="s">
        <v>242</v>
      </c>
      <c r="K340" s="49" t="b">
        <v>0</v>
      </c>
      <c r="L340" s="49" t="b">
        <v>0</v>
      </c>
      <c r="M340" s="49" t="b">
        <v>0</v>
      </c>
      <c r="N340" s="49" t="b">
        <v>0</v>
      </c>
      <c r="O340" s="49" t="b">
        <v>0</v>
      </c>
      <c r="P340" s="14" t="s">
        <v>87</v>
      </c>
      <c r="Q340" s="49" t="b">
        <v>0</v>
      </c>
      <c r="R340" s="49" t="b">
        <v>0</v>
      </c>
      <c r="S340" s="15" t="b">
        <v>0</v>
      </c>
      <c r="T340" s="15" t="b">
        <v>0</v>
      </c>
      <c r="U340" s="47" t="s">
        <v>215</v>
      </c>
      <c r="V340" s="47"/>
      <c r="W340" s="47" t="s">
        <v>311</v>
      </c>
    </row>
    <row r="341" ht="17.25" customHeight="1">
      <c r="A341" s="58" t="s">
        <v>581</v>
      </c>
      <c r="B341" s="48" t="s">
        <v>72</v>
      </c>
      <c r="C341" s="47" t="s">
        <v>72</v>
      </c>
      <c r="D341" s="47" t="s">
        <v>100</v>
      </c>
      <c r="E341" s="47" t="s">
        <v>75</v>
      </c>
      <c r="F341" s="47" t="s">
        <v>76</v>
      </c>
      <c r="G341" s="47" t="s">
        <v>8</v>
      </c>
      <c r="H341" s="49" t="b">
        <v>0</v>
      </c>
      <c r="I341" s="49" t="b">
        <v>0</v>
      </c>
      <c r="J341" s="49"/>
      <c r="K341" s="49" t="b">
        <v>1</v>
      </c>
      <c r="L341" s="49" t="b">
        <v>1</v>
      </c>
      <c r="M341" s="49" t="b">
        <v>1</v>
      </c>
      <c r="N341" s="49" t="b">
        <v>0</v>
      </c>
      <c r="O341" s="49" t="b">
        <v>0</v>
      </c>
      <c r="P341" s="14" t="s">
        <v>23</v>
      </c>
      <c r="Q341" s="49" t="b">
        <v>1</v>
      </c>
      <c r="R341" s="49" t="b">
        <v>0</v>
      </c>
      <c r="S341" s="15" t="b">
        <v>0</v>
      </c>
      <c r="T341" s="15" t="b">
        <v>0</v>
      </c>
      <c r="X341" s="47"/>
      <c r="Y341" s="47"/>
      <c r="Z341" s="47"/>
      <c r="AA341" s="47"/>
      <c r="AB341" s="47"/>
      <c r="AC341" s="47"/>
      <c r="AD341" s="47"/>
      <c r="AE341" s="47"/>
      <c r="AF341" s="47"/>
      <c r="AG341" s="47"/>
      <c r="AH341" s="47"/>
      <c r="AI341" s="47"/>
      <c r="AJ341" s="47"/>
      <c r="AK341" s="47"/>
    </row>
    <row r="342" ht="17.25" customHeight="1">
      <c r="A342" s="47" t="s">
        <v>582</v>
      </c>
      <c r="B342" s="48" t="s">
        <v>72</v>
      </c>
      <c r="C342" s="47" t="s">
        <v>84</v>
      </c>
      <c r="D342" s="47" t="s">
        <v>74</v>
      </c>
      <c r="E342" s="47" t="s">
        <v>82</v>
      </c>
      <c r="F342" s="47" t="s">
        <v>76</v>
      </c>
      <c r="G342" s="47" t="s">
        <v>16</v>
      </c>
      <c r="H342" s="49" t="b">
        <v>1</v>
      </c>
      <c r="I342" s="49" t="b">
        <v>1</v>
      </c>
      <c r="J342" s="49"/>
      <c r="K342" s="49" t="b">
        <v>0</v>
      </c>
      <c r="L342" s="49" t="b">
        <v>0</v>
      </c>
      <c r="M342" s="49" t="b">
        <v>1</v>
      </c>
      <c r="N342" s="49" t="b">
        <v>0</v>
      </c>
      <c r="O342" s="49" t="b">
        <v>0</v>
      </c>
      <c r="P342" s="14" t="s">
        <v>113</v>
      </c>
      <c r="Q342" s="49" t="b">
        <v>0</v>
      </c>
      <c r="R342" s="49" t="b">
        <v>1</v>
      </c>
      <c r="S342" s="15" t="b">
        <v>0</v>
      </c>
      <c r="T342" s="15" t="b">
        <v>0</v>
      </c>
    </row>
    <row r="343" ht="17.25" customHeight="1">
      <c r="A343" s="78" t="s">
        <v>583</v>
      </c>
      <c r="B343" s="48" t="s">
        <v>72</v>
      </c>
      <c r="C343" s="47" t="s">
        <v>72</v>
      </c>
      <c r="D343" s="47" t="s">
        <v>74</v>
      </c>
      <c r="E343" s="47" t="s">
        <v>91</v>
      </c>
      <c r="F343" s="47" t="s">
        <v>76</v>
      </c>
      <c r="G343" s="47" t="s">
        <v>16</v>
      </c>
      <c r="H343" s="49" t="b">
        <v>1</v>
      </c>
      <c r="I343" s="49" t="b">
        <v>1</v>
      </c>
      <c r="J343" s="49" t="b">
        <v>0</v>
      </c>
      <c r="K343" s="49" t="b">
        <v>0</v>
      </c>
      <c r="L343" s="49" t="b">
        <v>0</v>
      </c>
      <c r="M343" s="49" t="b">
        <v>1</v>
      </c>
      <c r="N343" s="49"/>
      <c r="O343" s="49" t="b">
        <v>0</v>
      </c>
      <c r="P343" s="14" t="s">
        <v>87</v>
      </c>
      <c r="Q343" s="49" t="b">
        <v>0</v>
      </c>
      <c r="R343" s="49" t="b">
        <v>0</v>
      </c>
      <c r="S343" s="15" t="b">
        <v>0</v>
      </c>
      <c r="T343" s="15" t="b">
        <v>0</v>
      </c>
      <c r="U343" s="47"/>
      <c r="V343" s="47"/>
      <c r="W343" s="47" t="s">
        <v>91</v>
      </c>
      <c r="X343" s="47"/>
      <c r="Y343" s="47"/>
      <c r="Z343" s="47"/>
      <c r="AA343" s="47"/>
      <c r="AB343" s="47"/>
      <c r="AC343" s="47"/>
      <c r="AD343" s="47"/>
      <c r="AE343" s="47"/>
      <c r="AF343" s="47"/>
      <c r="AG343" s="47"/>
      <c r="AH343" s="47"/>
      <c r="AI343" s="47"/>
      <c r="AJ343" s="47"/>
      <c r="AK343" s="47"/>
    </row>
    <row r="344" ht="17.25" customHeight="1">
      <c r="A344" s="50" t="s">
        <v>584</v>
      </c>
      <c r="B344" s="48" t="s">
        <v>72</v>
      </c>
      <c r="C344" s="47" t="s">
        <v>72</v>
      </c>
      <c r="D344" s="47" t="s">
        <v>142</v>
      </c>
      <c r="E344" s="47" t="s">
        <v>75</v>
      </c>
      <c r="F344" s="47" t="s">
        <v>76</v>
      </c>
      <c r="G344" s="47" t="s">
        <v>21</v>
      </c>
      <c r="H344" s="49" t="b">
        <v>0</v>
      </c>
      <c r="I344" s="49" t="b">
        <v>0</v>
      </c>
      <c r="J344" s="49"/>
      <c r="K344" s="49" t="b">
        <v>0</v>
      </c>
      <c r="L344" s="49" t="b">
        <v>0</v>
      </c>
      <c r="M344" s="49" t="b">
        <v>1</v>
      </c>
      <c r="N344" s="49" t="b">
        <v>0</v>
      </c>
      <c r="O344" s="49" t="b">
        <v>0</v>
      </c>
      <c r="P344" s="57"/>
      <c r="Q344" s="49" t="b">
        <v>1</v>
      </c>
      <c r="R344" s="49" t="b">
        <v>1</v>
      </c>
      <c r="S344" s="15" t="b">
        <v>0</v>
      </c>
      <c r="T344" s="15" t="b">
        <v>0</v>
      </c>
      <c r="W344" s="14" t="s">
        <v>585</v>
      </c>
    </row>
    <row r="345" ht="17.25" customHeight="1">
      <c r="A345" s="47" t="s">
        <v>586</v>
      </c>
      <c r="B345" s="48" t="s">
        <v>72</v>
      </c>
      <c r="C345" s="48" t="s">
        <v>72</v>
      </c>
      <c r="D345" s="48" t="s">
        <v>85</v>
      </c>
      <c r="E345" s="47" t="s">
        <v>75</v>
      </c>
      <c r="F345" s="51" t="s">
        <v>86</v>
      </c>
      <c r="G345" s="47" t="s">
        <v>8</v>
      </c>
      <c r="H345" s="49" t="b">
        <v>0</v>
      </c>
      <c r="I345" s="49" t="b">
        <v>1</v>
      </c>
      <c r="J345" s="52"/>
      <c r="K345" s="52" t="b">
        <v>0</v>
      </c>
      <c r="L345" s="52" t="b">
        <v>0</v>
      </c>
      <c r="M345" s="52" t="b">
        <v>0</v>
      </c>
      <c r="N345" s="52" t="b">
        <v>0</v>
      </c>
      <c r="O345" s="52" t="b">
        <v>0</v>
      </c>
      <c r="P345" s="48" t="s">
        <v>23</v>
      </c>
      <c r="Q345" s="52" t="b">
        <v>0</v>
      </c>
      <c r="R345" s="52" t="b">
        <v>0</v>
      </c>
      <c r="S345" s="52" t="b">
        <v>0</v>
      </c>
      <c r="T345" s="52" t="b">
        <v>0</v>
      </c>
      <c r="V345" s="47"/>
      <c r="W345" s="47" t="s">
        <v>587</v>
      </c>
      <c r="X345" s="47"/>
      <c r="Y345" s="47"/>
      <c r="Z345" s="47"/>
      <c r="AA345" s="47"/>
      <c r="AB345" s="47"/>
      <c r="AC345" s="47"/>
      <c r="AD345" s="47"/>
      <c r="AE345" s="47"/>
      <c r="AF345" s="47"/>
      <c r="AG345" s="47"/>
      <c r="AH345" s="47"/>
      <c r="AI345" s="47"/>
      <c r="AJ345" s="47"/>
      <c r="AK345" s="47"/>
    </row>
    <row r="346" ht="17.25" customHeight="1">
      <c r="A346" s="47" t="s">
        <v>588</v>
      </c>
      <c r="B346" s="48" t="s">
        <v>151</v>
      </c>
      <c r="C346" s="47" t="s">
        <v>95</v>
      </c>
      <c r="D346" s="47" t="s">
        <v>85</v>
      </c>
      <c r="E346" s="47" t="s">
        <v>75</v>
      </c>
      <c r="F346" s="47" t="s">
        <v>86</v>
      </c>
      <c r="G346" s="47" t="s">
        <v>10</v>
      </c>
      <c r="H346" s="49" t="b">
        <v>1</v>
      </c>
      <c r="I346" s="49" t="b">
        <v>0</v>
      </c>
      <c r="J346" s="49"/>
      <c r="K346" s="49" t="b">
        <v>0</v>
      </c>
      <c r="L346" s="49" t="b">
        <v>0</v>
      </c>
      <c r="M346" s="49" t="b">
        <v>0</v>
      </c>
      <c r="N346" s="49" t="b">
        <v>0</v>
      </c>
      <c r="O346" s="49" t="b">
        <v>0</v>
      </c>
      <c r="P346" s="14" t="s">
        <v>113</v>
      </c>
      <c r="Q346" s="49" t="b">
        <v>0</v>
      </c>
      <c r="R346" s="49" t="b">
        <v>0</v>
      </c>
      <c r="S346" s="15" t="b">
        <v>0</v>
      </c>
      <c r="T346" s="15" t="b">
        <v>0</v>
      </c>
      <c r="X346" s="47"/>
      <c r="Y346" s="47"/>
      <c r="Z346" s="47"/>
      <c r="AA346" s="47"/>
      <c r="AB346" s="47"/>
      <c r="AC346" s="47"/>
      <c r="AD346" s="47"/>
      <c r="AE346" s="47"/>
      <c r="AF346" s="47"/>
      <c r="AG346" s="47"/>
      <c r="AH346" s="47"/>
      <c r="AI346" s="47"/>
      <c r="AJ346" s="47"/>
      <c r="AK346" s="47"/>
    </row>
    <row r="347" ht="17.25" customHeight="1">
      <c r="A347" s="58" t="s">
        <v>589</v>
      </c>
      <c r="B347" s="48" t="s">
        <v>80</v>
      </c>
      <c r="C347" s="47" t="s">
        <v>95</v>
      </c>
      <c r="D347" s="47" t="s">
        <v>74</v>
      </c>
      <c r="E347" s="47" t="s">
        <v>82</v>
      </c>
      <c r="F347" s="47" t="s">
        <v>76</v>
      </c>
      <c r="G347" s="47" t="s">
        <v>10</v>
      </c>
      <c r="H347" s="49" t="b">
        <v>0</v>
      </c>
      <c r="I347" s="49" t="b">
        <v>1</v>
      </c>
      <c r="J347" s="49" t="b">
        <v>0</v>
      </c>
      <c r="K347" s="49" t="b">
        <v>0</v>
      </c>
      <c r="L347" s="49" t="b">
        <v>0</v>
      </c>
      <c r="M347" s="49" t="b">
        <v>1</v>
      </c>
      <c r="N347" s="49" t="b">
        <v>0</v>
      </c>
      <c r="O347" s="49" t="b">
        <v>0</v>
      </c>
      <c r="P347" s="14" t="s">
        <v>87</v>
      </c>
      <c r="Q347" s="49" t="b">
        <v>1</v>
      </c>
      <c r="R347" s="49" t="b">
        <v>1</v>
      </c>
      <c r="S347" s="15" t="b">
        <v>0</v>
      </c>
      <c r="T347" s="15" t="b">
        <v>0</v>
      </c>
    </row>
    <row r="348" ht="17.25" customHeight="1">
      <c r="A348" s="47" t="s">
        <v>590</v>
      </c>
      <c r="B348" s="48" t="s">
        <v>109</v>
      </c>
      <c r="C348" s="47" t="s">
        <v>110</v>
      </c>
      <c r="D348" s="47" t="s">
        <v>100</v>
      </c>
      <c r="E348" s="47" t="s">
        <v>75</v>
      </c>
      <c r="F348" s="47" t="s">
        <v>76</v>
      </c>
      <c r="G348" s="47" t="s">
        <v>8</v>
      </c>
      <c r="H348" s="49" t="b">
        <v>1</v>
      </c>
      <c r="I348" s="49" t="b">
        <v>0</v>
      </c>
      <c r="J348" s="49" t="b">
        <v>0</v>
      </c>
      <c r="K348" s="49" t="b">
        <v>1</v>
      </c>
      <c r="L348" s="49" t="b">
        <v>1</v>
      </c>
      <c r="M348" s="49" t="b">
        <v>0</v>
      </c>
      <c r="N348" s="49" t="b">
        <v>0</v>
      </c>
      <c r="O348" s="49" t="b">
        <v>0</v>
      </c>
      <c r="P348" s="14" t="s">
        <v>138</v>
      </c>
      <c r="Q348" s="49" t="b">
        <v>1</v>
      </c>
      <c r="R348" s="49" t="b">
        <v>1</v>
      </c>
      <c r="S348" s="15" t="b">
        <v>0</v>
      </c>
      <c r="T348" s="15" t="b">
        <v>0</v>
      </c>
      <c r="V348" s="14" t="s">
        <v>106</v>
      </c>
      <c r="W348" s="83" t="s">
        <v>591</v>
      </c>
      <c r="X348" s="47"/>
      <c r="Y348" s="47"/>
      <c r="Z348" s="47"/>
      <c r="AA348" s="47"/>
      <c r="AB348" s="47"/>
      <c r="AC348" s="47"/>
      <c r="AD348" s="47"/>
      <c r="AE348" s="47"/>
      <c r="AF348" s="47"/>
      <c r="AG348" s="47"/>
      <c r="AH348" s="47"/>
      <c r="AI348" s="47"/>
      <c r="AJ348" s="47"/>
      <c r="AK348" s="47"/>
    </row>
    <row r="349" ht="17.25" customHeight="1">
      <c r="A349" s="47" t="s">
        <v>592</v>
      </c>
      <c r="B349" s="48" t="s">
        <v>80</v>
      </c>
      <c r="C349" s="47" t="s">
        <v>73</v>
      </c>
      <c r="D349" s="47" t="s">
        <v>122</v>
      </c>
      <c r="E349" s="47" t="s">
        <v>96</v>
      </c>
      <c r="F349" s="47" t="s">
        <v>86</v>
      </c>
      <c r="G349" s="47" t="s">
        <v>191</v>
      </c>
      <c r="H349" s="49" t="b">
        <v>0</v>
      </c>
      <c r="I349" s="49" t="b">
        <v>0</v>
      </c>
      <c r="J349" s="49"/>
      <c r="K349" s="49" t="b">
        <v>0</v>
      </c>
      <c r="L349" s="49" t="b">
        <v>0</v>
      </c>
      <c r="M349" s="49" t="b">
        <v>0</v>
      </c>
      <c r="N349" s="49" t="b">
        <v>0</v>
      </c>
      <c r="O349" s="49" t="b">
        <v>0</v>
      </c>
      <c r="P349" s="14" t="s">
        <v>23</v>
      </c>
      <c r="Q349" s="49" t="b">
        <v>0</v>
      </c>
      <c r="R349" s="49" t="b">
        <v>0</v>
      </c>
      <c r="S349" s="15" t="b">
        <v>0</v>
      </c>
      <c r="T349" s="15" t="b">
        <v>0</v>
      </c>
      <c r="U349" s="47"/>
      <c r="V349" s="47"/>
      <c r="W349" s="47"/>
      <c r="X349" s="47"/>
      <c r="Y349" s="47"/>
      <c r="Z349" s="47"/>
      <c r="AA349" s="47"/>
      <c r="AB349" s="47"/>
      <c r="AC349" s="47"/>
      <c r="AD349" s="47"/>
      <c r="AE349" s="47"/>
      <c r="AF349" s="47"/>
      <c r="AG349" s="47"/>
      <c r="AH349" s="47"/>
      <c r="AI349" s="47"/>
      <c r="AJ349" s="47"/>
      <c r="AK349" s="47"/>
    </row>
    <row r="350" ht="17.25" customHeight="1">
      <c r="A350" s="47" t="s">
        <v>593</v>
      </c>
      <c r="B350" s="48" t="s">
        <v>72</v>
      </c>
      <c r="C350" s="48" t="s">
        <v>72</v>
      </c>
      <c r="D350" s="47" t="s">
        <v>85</v>
      </c>
      <c r="E350" s="47" t="s">
        <v>96</v>
      </c>
      <c r="F350" s="47" t="s">
        <v>76</v>
      </c>
      <c r="G350" s="47" t="s">
        <v>11</v>
      </c>
      <c r="H350" s="49" t="b">
        <v>0</v>
      </c>
      <c r="I350" s="49" t="b">
        <v>0</v>
      </c>
      <c r="J350" s="49"/>
      <c r="K350" s="49" t="b">
        <v>0</v>
      </c>
      <c r="L350" s="49" t="b">
        <v>0</v>
      </c>
      <c r="M350" s="49" t="b">
        <v>0</v>
      </c>
      <c r="N350" s="49" t="b">
        <v>0</v>
      </c>
      <c r="O350" s="49" t="b">
        <v>0</v>
      </c>
      <c r="P350" s="14" t="s">
        <v>23</v>
      </c>
      <c r="Q350" s="49" t="b">
        <v>0</v>
      </c>
      <c r="R350" s="49" t="b">
        <v>0</v>
      </c>
      <c r="S350" s="15" t="b">
        <v>0</v>
      </c>
      <c r="T350" s="15" t="b">
        <v>0</v>
      </c>
      <c r="X350" s="61"/>
      <c r="Y350" s="61"/>
      <c r="Z350" s="61"/>
      <c r="AA350" s="61"/>
      <c r="AB350" s="61"/>
      <c r="AC350" s="61"/>
      <c r="AD350" s="61"/>
      <c r="AE350" s="61"/>
      <c r="AF350" s="61"/>
      <c r="AG350" s="61"/>
      <c r="AH350" s="61"/>
      <c r="AI350" s="61"/>
      <c r="AJ350" s="61"/>
      <c r="AK350" s="61"/>
    </row>
    <row r="351" ht="17.25" customHeight="1">
      <c r="A351" s="47" t="s">
        <v>594</v>
      </c>
      <c r="B351" s="48" t="s">
        <v>99</v>
      </c>
      <c r="C351" s="47" t="s">
        <v>95</v>
      </c>
      <c r="D351" s="48" t="s">
        <v>85</v>
      </c>
      <c r="E351" s="47" t="s">
        <v>101</v>
      </c>
      <c r="F351" s="51" t="s">
        <v>86</v>
      </c>
      <c r="G351" s="48" t="s">
        <v>11</v>
      </c>
      <c r="H351" s="49" t="b">
        <v>0</v>
      </c>
      <c r="I351" s="52" t="b">
        <v>0</v>
      </c>
      <c r="J351" s="52" t="b">
        <v>0</v>
      </c>
      <c r="K351" s="52" t="b">
        <v>0</v>
      </c>
      <c r="L351" s="52" t="b">
        <v>0</v>
      </c>
      <c r="M351" s="52" t="b">
        <v>0</v>
      </c>
      <c r="N351" s="52" t="b">
        <v>0</v>
      </c>
      <c r="O351" s="52" t="b">
        <v>0</v>
      </c>
      <c r="P351" s="48" t="s">
        <v>134</v>
      </c>
      <c r="Q351" s="52" t="b">
        <v>0</v>
      </c>
      <c r="R351" s="52" t="b">
        <v>0</v>
      </c>
      <c r="S351" s="52" t="b">
        <v>0</v>
      </c>
      <c r="T351" s="52" t="b">
        <v>0</v>
      </c>
      <c r="V351" s="47"/>
      <c r="W351" s="47"/>
      <c r="X351" s="47"/>
      <c r="Y351" s="47"/>
      <c r="Z351" s="47"/>
      <c r="AA351" s="47"/>
      <c r="AB351" s="47"/>
      <c r="AC351" s="47"/>
      <c r="AD351" s="47"/>
      <c r="AE351" s="47"/>
      <c r="AF351" s="47"/>
      <c r="AG351" s="47"/>
      <c r="AH351" s="47"/>
      <c r="AI351" s="47"/>
      <c r="AJ351" s="47"/>
      <c r="AK351" s="47"/>
    </row>
    <row r="352" ht="17.25" customHeight="1">
      <c r="A352" s="47" t="s">
        <v>595</v>
      </c>
      <c r="B352" s="48" t="s">
        <v>80</v>
      </c>
      <c r="C352" s="47" t="s">
        <v>95</v>
      </c>
      <c r="D352" s="47" t="s">
        <v>142</v>
      </c>
      <c r="E352" s="47" t="s">
        <v>75</v>
      </c>
      <c r="F352" s="47" t="s">
        <v>86</v>
      </c>
      <c r="G352" s="47" t="s">
        <v>21</v>
      </c>
      <c r="H352" s="49" t="b">
        <v>0</v>
      </c>
      <c r="I352" s="49" t="b">
        <v>0</v>
      </c>
      <c r="J352" s="49"/>
      <c r="K352" s="49" t="b">
        <v>1</v>
      </c>
      <c r="L352" s="49" t="b">
        <v>0</v>
      </c>
      <c r="M352" s="49" t="b">
        <v>0</v>
      </c>
      <c r="N352" s="49" t="b">
        <v>0</v>
      </c>
      <c r="O352" s="49" t="b">
        <v>1</v>
      </c>
      <c r="P352" s="57"/>
      <c r="Q352" s="49" t="b">
        <v>1</v>
      </c>
      <c r="R352" s="49" t="b">
        <v>1</v>
      </c>
      <c r="S352" s="15" t="b">
        <v>0</v>
      </c>
      <c r="T352" s="15" t="b">
        <v>0</v>
      </c>
    </row>
    <row r="353" ht="17.25" customHeight="1">
      <c r="A353" s="50" t="s">
        <v>596</v>
      </c>
      <c r="B353" s="48" t="s">
        <v>80</v>
      </c>
      <c r="C353" s="48" t="s">
        <v>72</v>
      </c>
      <c r="D353" s="47" t="s">
        <v>122</v>
      </c>
      <c r="E353" s="47" t="s">
        <v>82</v>
      </c>
      <c r="F353" s="47" t="s">
        <v>86</v>
      </c>
      <c r="G353" s="47" t="s">
        <v>21</v>
      </c>
      <c r="H353" s="49" t="b">
        <v>0</v>
      </c>
      <c r="I353" s="49" t="b">
        <v>0</v>
      </c>
      <c r="J353" s="49"/>
      <c r="K353" s="49" t="b">
        <v>0</v>
      </c>
      <c r="L353" s="49" t="b">
        <v>0</v>
      </c>
      <c r="M353" s="49" t="b">
        <v>0</v>
      </c>
      <c r="N353" s="49" t="b">
        <v>0</v>
      </c>
      <c r="O353" s="49" t="b">
        <v>0</v>
      </c>
      <c r="P353" s="14" t="s">
        <v>23</v>
      </c>
      <c r="Q353" s="49" t="b">
        <v>0</v>
      </c>
      <c r="R353" s="49" t="b">
        <v>0</v>
      </c>
      <c r="S353" s="15" t="b">
        <v>0</v>
      </c>
      <c r="T353" s="15" t="b">
        <v>0</v>
      </c>
      <c r="U353" s="47"/>
      <c r="V353" s="47"/>
      <c r="W353" s="47"/>
      <c r="X353" s="47"/>
      <c r="Y353" s="47"/>
      <c r="Z353" s="47"/>
      <c r="AA353" s="47"/>
      <c r="AB353" s="47"/>
      <c r="AC353" s="47"/>
      <c r="AD353" s="47"/>
      <c r="AE353" s="47"/>
      <c r="AF353" s="47"/>
      <c r="AG353" s="47"/>
      <c r="AH353" s="47"/>
      <c r="AI353" s="47"/>
      <c r="AJ353" s="47"/>
      <c r="AK353" s="47"/>
    </row>
    <row r="354" ht="17.25" customHeight="1">
      <c r="A354" s="62" t="s">
        <v>597</v>
      </c>
      <c r="B354" s="14" t="s">
        <v>166</v>
      </c>
      <c r="C354" s="47" t="s">
        <v>95</v>
      </c>
      <c r="D354" s="47" t="s">
        <v>85</v>
      </c>
      <c r="E354" s="47" t="s">
        <v>75</v>
      </c>
      <c r="F354" s="47" t="s">
        <v>86</v>
      </c>
      <c r="G354" s="47" t="s">
        <v>10</v>
      </c>
      <c r="H354" s="49" t="b">
        <v>1</v>
      </c>
      <c r="I354" s="49" t="b">
        <v>0</v>
      </c>
      <c r="J354" s="49"/>
      <c r="K354" s="49" t="b">
        <v>0</v>
      </c>
      <c r="L354" s="49" t="b">
        <v>0</v>
      </c>
      <c r="M354" s="49" t="b">
        <v>0</v>
      </c>
      <c r="N354" s="49" t="b">
        <v>0</v>
      </c>
      <c r="O354" s="49" t="b">
        <v>0</v>
      </c>
      <c r="P354" s="14" t="s">
        <v>113</v>
      </c>
      <c r="Q354" s="49" t="b">
        <v>0</v>
      </c>
      <c r="R354" s="49" t="b">
        <v>0</v>
      </c>
      <c r="S354" s="15" t="b">
        <v>0</v>
      </c>
      <c r="T354" s="14" t="b">
        <v>0</v>
      </c>
      <c r="W354" s="14" t="s">
        <v>598</v>
      </c>
    </row>
    <row r="355" ht="17.25" customHeight="1">
      <c r="A355" s="47" t="s">
        <v>599</v>
      </c>
      <c r="B355" s="48" t="s">
        <v>80</v>
      </c>
      <c r="C355" s="47" t="s">
        <v>84</v>
      </c>
      <c r="D355" s="47" t="s">
        <v>85</v>
      </c>
      <c r="E355" s="47" t="s">
        <v>75</v>
      </c>
      <c r="F355" s="47" t="s">
        <v>86</v>
      </c>
      <c r="G355" s="47" t="s">
        <v>16</v>
      </c>
      <c r="H355" s="49" t="b">
        <v>0</v>
      </c>
      <c r="I355" s="49" t="b">
        <v>0</v>
      </c>
      <c r="J355" s="49"/>
      <c r="K355" s="49" t="b">
        <v>0</v>
      </c>
      <c r="L355" s="49" t="b">
        <v>0</v>
      </c>
      <c r="M355" s="49" t="b">
        <v>0</v>
      </c>
      <c r="N355" s="49" t="b">
        <v>0</v>
      </c>
      <c r="O355" s="49" t="b">
        <v>0</v>
      </c>
      <c r="P355" s="14" t="s">
        <v>23</v>
      </c>
      <c r="Q355" s="49" t="b">
        <v>0</v>
      </c>
      <c r="R355" s="49" t="b">
        <v>0</v>
      </c>
      <c r="S355" s="15" t="b">
        <v>0</v>
      </c>
      <c r="T355" s="15" t="b">
        <v>0</v>
      </c>
      <c r="U355" s="47"/>
      <c r="V355" s="47"/>
      <c r="W355" s="47" t="s">
        <v>600</v>
      </c>
    </row>
    <row r="356" ht="17.25" customHeight="1">
      <c r="A356" s="47" t="s">
        <v>601</v>
      </c>
      <c r="B356" s="48" t="s">
        <v>72</v>
      </c>
      <c r="C356" s="47" t="s">
        <v>72</v>
      </c>
      <c r="D356" s="47" t="s">
        <v>74</v>
      </c>
      <c r="E356" s="47" t="s">
        <v>75</v>
      </c>
      <c r="F356" s="47" t="s">
        <v>76</v>
      </c>
      <c r="G356" s="47" t="s">
        <v>16</v>
      </c>
      <c r="H356" s="49" t="b">
        <v>0</v>
      </c>
      <c r="I356" s="49" t="b">
        <v>0</v>
      </c>
      <c r="J356" s="49" t="b">
        <v>0</v>
      </c>
      <c r="K356" s="49" t="b">
        <v>0</v>
      </c>
      <c r="L356" s="49" t="b">
        <v>0</v>
      </c>
      <c r="M356" s="49" t="b">
        <v>0</v>
      </c>
      <c r="N356" s="49" t="b">
        <v>0</v>
      </c>
      <c r="O356" s="49" t="b">
        <v>0</v>
      </c>
      <c r="P356" s="14" t="s">
        <v>87</v>
      </c>
      <c r="Q356" s="49" t="b">
        <v>0</v>
      </c>
      <c r="R356" s="49" t="b">
        <v>1</v>
      </c>
      <c r="S356" s="15" t="b">
        <v>0</v>
      </c>
      <c r="T356" s="15" t="b">
        <v>0</v>
      </c>
    </row>
    <row r="357" ht="17.25" customHeight="1">
      <c r="A357" s="47" t="s">
        <v>602</v>
      </c>
      <c r="B357" s="48" t="s">
        <v>220</v>
      </c>
      <c r="C357" s="47" t="s">
        <v>73</v>
      </c>
      <c r="D357" s="47" t="s">
        <v>100</v>
      </c>
      <c r="E357" s="47" t="s">
        <v>82</v>
      </c>
      <c r="F357" s="47" t="s">
        <v>76</v>
      </c>
      <c r="G357" s="47" t="s">
        <v>15</v>
      </c>
      <c r="H357" s="49" t="b">
        <v>0</v>
      </c>
      <c r="I357" s="49" t="b">
        <v>0</v>
      </c>
      <c r="J357" s="49" t="s">
        <v>214</v>
      </c>
      <c r="K357" s="49" t="b">
        <v>0</v>
      </c>
      <c r="L357" s="49" t="b">
        <v>0</v>
      </c>
      <c r="M357" s="49" t="b">
        <v>0</v>
      </c>
      <c r="N357" s="49" t="b">
        <v>0</v>
      </c>
      <c r="O357" s="49" t="b">
        <v>0</v>
      </c>
      <c r="P357" s="14" t="s">
        <v>87</v>
      </c>
      <c r="Q357" s="49" t="b">
        <v>0</v>
      </c>
      <c r="R357" s="49" t="b">
        <v>0</v>
      </c>
      <c r="S357" s="15" t="b">
        <v>0</v>
      </c>
      <c r="T357" s="15" t="b">
        <v>0</v>
      </c>
      <c r="V357" s="14" t="s">
        <v>106</v>
      </c>
      <c r="W357" s="14" t="s">
        <v>603</v>
      </c>
    </row>
    <row r="358" ht="17.25" customHeight="1">
      <c r="A358" s="47" t="s">
        <v>604</v>
      </c>
      <c r="B358" s="48" t="s">
        <v>103</v>
      </c>
      <c r="C358" s="48" t="s">
        <v>103</v>
      </c>
      <c r="D358" s="47" t="s">
        <v>142</v>
      </c>
      <c r="E358" s="47" t="s">
        <v>75</v>
      </c>
      <c r="F358" s="47" t="s">
        <v>86</v>
      </c>
      <c r="G358" s="47" t="s">
        <v>21</v>
      </c>
      <c r="H358" s="49" t="b">
        <v>0</v>
      </c>
      <c r="I358" s="49" t="b">
        <v>0</v>
      </c>
      <c r="J358" s="49"/>
      <c r="K358" s="49" t="b">
        <v>0</v>
      </c>
      <c r="L358" s="49" t="b">
        <v>0</v>
      </c>
      <c r="M358" s="49" t="b">
        <v>0</v>
      </c>
      <c r="N358" s="49" t="b">
        <v>0</v>
      </c>
      <c r="O358" s="49" t="b">
        <v>0</v>
      </c>
      <c r="P358" s="57"/>
      <c r="Q358" s="49" t="b">
        <v>1</v>
      </c>
      <c r="R358" s="49" t="b">
        <v>0</v>
      </c>
      <c r="S358" s="15" t="b">
        <v>0</v>
      </c>
      <c r="T358" s="15" t="b">
        <v>0</v>
      </c>
    </row>
    <row r="359" ht="17.25" customHeight="1">
      <c r="A359" s="47" t="s">
        <v>605</v>
      </c>
      <c r="B359" s="48" t="s">
        <v>80</v>
      </c>
      <c r="C359" s="47" t="s">
        <v>73</v>
      </c>
      <c r="D359" s="47" t="s">
        <v>90</v>
      </c>
      <c r="E359" s="47" t="s">
        <v>82</v>
      </c>
      <c r="F359" s="47" t="s">
        <v>86</v>
      </c>
      <c r="G359" s="47" t="s">
        <v>338</v>
      </c>
      <c r="H359" s="49" t="b">
        <v>0</v>
      </c>
      <c r="I359" s="49" t="b">
        <v>0</v>
      </c>
      <c r="J359" s="49"/>
      <c r="K359" s="49" t="b">
        <v>0</v>
      </c>
      <c r="L359" s="49" t="b">
        <v>0</v>
      </c>
      <c r="M359" s="49" t="b">
        <v>0</v>
      </c>
      <c r="N359" s="49" t="b">
        <v>0</v>
      </c>
      <c r="O359" s="49" t="b">
        <v>0</v>
      </c>
      <c r="P359" s="14" t="s">
        <v>87</v>
      </c>
      <c r="Q359" s="49" t="b">
        <v>0</v>
      </c>
      <c r="R359" s="49" t="b">
        <v>0</v>
      </c>
      <c r="S359" s="15" t="b">
        <v>0</v>
      </c>
      <c r="T359" s="15" t="b">
        <v>0</v>
      </c>
      <c r="U359" s="47"/>
      <c r="V359" s="47"/>
      <c r="W359" s="47"/>
    </row>
    <row r="360" ht="17.25" customHeight="1">
      <c r="A360" s="47" t="s">
        <v>606</v>
      </c>
      <c r="B360" s="48" t="s">
        <v>103</v>
      </c>
      <c r="C360" s="48" t="s">
        <v>103</v>
      </c>
      <c r="D360" s="47" t="s">
        <v>100</v>
      </c>
      <c r="E360" s="47" t="s">
        <v>75</v>
      </c>
      <c r="F360" s="47" t="s">
        <v>76</v>
      </c>
      <c r="G360" s="47" t="s">
        <v>10</v>
      </c>
      <c r="H360" s="49" t="b">
        <v>1</v>
      </c>
      <c r="I360" s="49" t="b">
        <v>0</v>
      </c>
      <c r="J360" s="49"/>
      <c r="K360" s="49" t="b">
        <v>1</v>
      </c>
      <c r="L360" s="49" t="b">
        <v>1</v>
      </c>
      <c r="M360" s="49" t="b">
        <v>0</v>
      </c>
      <c r="N360" s="49" t="b">
        <v>0</v>
      </c>
      <c r="O360" s="49" t="b">
        <v>0</v>
      </c>
      <c r="P360" s="14" t="s">
        <v>78</v>
      </c>
      <c r="Q360" s="49" t="b">
        <v>1</v>
      </c>
      <c r="R360" s="49" t="b">
        <v>1</v>
      </c>
      <c r="S360" s="14" t="b">
        <v>1</v>
      </c>
      <c r="T360" s="15" t="b">
        <v>0</v>
      </c>
      <c r="V360" s="14" t="s">
        <v>106</v>
      </c>
      <c r="X360" s="47"/>
      <c r="Y360" s="47"/>
      <c r="Z360" s="47"/>
      <c r="AA360" s="47"/>
      <c r="AB360" s="47"/>
      <c r="AC360" s="47"/>
      <c r="AD360" s="47"/>
      <c r="AE360" s="47"/>
      <c r="AF360" s="47"/>
      <c r="AG360" s="47"/>
      <c r="AH360" s="47"/>
      <c r="AI360" s="47"/>
      <c r="AJ360" s="47"/>
      <c r="AK360" s="47"/>
    </row>
    <row r="361" ht="17.25" customHeight="1">
      <c r="A361" s="80" t="s">
        <v>607</v>
      </c>
      <c r="B361" s="48" t="s">
        <v>99</v>
      </c>
      <c r="C361" s="47" t="s">
        <v>95</v>
      </c>
      <c r="D361" s="47" t="s">
        <v>100</v>
      </c>
      <c r="E361" s="47" t="s">
        <v>96</v>
      </c>
      <c r="F361" s="47" t="s">
        <v>76</v>
      </c>
      <c r="G361" s="47" t="s">
        <v>11</v>
      </c>
      <c r="H361" s="49" t="b">
        <v>1</v>
      </c>
      <c r="I361" s="49" t="b">
        <v>0</v>
      </c>
      <c r="J361" s="49"/>
      <c r="K361" s="49" t="b">
        <v>1</v>
      </c>
      <c r="L361" s="49" t="b">
        <v>1</v>
      </c>
      <c r="M361" s="49" t="b">
        <v>0</v>
      </c>
      <c r="N361" s="49" t="b">
        <v>0</v>
      </c>
      <c r="O361" s="49" t="b">
        <v>0</v>
      </c>
      <c r="P361" s="14" t="s">
        <v>113</v>
      </c>
      <c r="Q361" s="49" t="b">
        <v>1</v>
      </c>
      <c r="R361" s="49" t="b">
        <v>1</v>
      </c>
      <c r="S361" s="15" t="b">
        <v>0</v>
      </c>
      <c r="T361" s="15" t="b">
        <v>0</v>
      </c>
      <c r="W361" s="14" t="s">
        <v>608</v>
      </c>
      <c r="X361" s="47"/>
      <c r="Y361" s="47"/>
      <c r="Z361" s="47"/>
      <c r="AA361" s="47"/>
      <c r="AB361" s="47"/>
      <c r="AC361" s="47"/>
      <c r="AD361" s="47"/>
      <c r="AE361" s="47"/>
      <c r="AF361" s="47"/>
      <c r="AG361" s="47"/>
      <c r="AH361" s="47"/>
      <c r="AI361" s="47"/>
      <c r="AJ361" s="47"/>
      <c r="AK361" s="47"/>
    </row>
    <row r="362" ht="17.25" customHeight="1">
      <c r="A362" s="53" t="s">
        <v>609</v>
      </c>
      <c r="B362" s="48" t="s">
        <v>94</v>
      </c>
      <c r="C362" s="47" t="s">
        <v>95</v>
      </c>
      <c r="D362" s="47" t="s">
        <v>122</v>
      </c>
      <c r="E362" s="47" t="s">
        <v>75</v>
      </c>
      <c r="F362" s="47" t="s">
        <v>86</v>
      </c>
      <c r="G362" s="47" t="s">
        <v>11</v>
      </c>
      <c r="H362" s="49" t="b">
        <v>1</v>
      </c>
      <c r="I362" s="49" t="b">
        <v>0</v>
      </c>
      <c r="J362" s="49" t="b">
        <v>0</v>
      </c>
      <c r="K362" s="49" t="b">
        <v>0</v>
      </c>
      <c r="L362" s="49" t="b">
        <v>0</v>
      </c>
      <c r="M362" s="49" t="b">
        <v>0</v>
      </c>
      <c r="N362" s="49" t="b">
        <v>0</v>
      </c>
      <c r="O362" s="49" t="b">
        <v>0</v>
      </c>
      <c r="P362" s="14" t="s">
        <v>87</v>
      </c>
      <c r="Q362" s="49" t="b">
        <v>0</v>
      </c>
      <c r="R362" s="49" t="b">
        <v>0</v>
      </c>
      <c r="S362" s="15" t="b">
        <v>0</v>
      </c>
      <c r="T362" s="15" t="b">
        <v>0</v>
      </c>
      <c r="U362" s="47"/>
      <c r="V362" s="47"/>
      <c r="W362" s="47"/>
    </row>
    <row r="363" ht="17.25" customHeight="1">
      <c r="A363" s="47" t="s">
        <v>610</v>
      </c>
      <c r="B363" s="48" t="s">
        <v>257</v>
      </c>
      <c r="C363" s="47" t="s">
        <v>84</v>
      </c>
      <c r="D363" s="47" t="s">
        <v>122</v>
      </c>
      <c r="E363" s="47" t="s">
        <v>75</v>
      </c>
      <c r="F363" s="47" t="s">
        <v>86</v>
      </c>
      <c r="G363" s="47" t="s">
        <v>16</v>
      </c>
      <c r="H363" s="49" t="b">
        <v>1</v>
      </c>
      <c r="I363" s="49" t="b">
        <v>1</v>
      </c>
      <c r="J363" s="49"/>
      <c r="K363" s="49" t="b">
        <v>0</v>
      </c>
      <c r="L363" s="49" t="b">
        <v>0</v>
      </c>
      <c r="M363" s="49" t="b">
        <v>0</v>
      </c>
      <c r="N363" s="49" t="b">
        <v>0</v>
      </c>
      <c r="O363" s="49" t="b">
        <v>0</v>
      </c>
      <c r="P363" s="14" t="s">
        <v>113</v>
      </c>
      <c r="Q363" s="49" t="b">
        <v>0</v>
      </c>
      <c r="R363" s="49" t="b">
        <v>0</v>
      </c>
      <c r="S363" s="15" t="b">
        <v>0</v>
      </c>
      <c r="T363" s="15" t="b">
        <v>0</v>
      </c>
      <c r="U363" s="47"/>
      <c r="V363" s="47"/>
      <c r="W363" s="47"/>
    </row>
    <row r="364" ht="17.25" customHeight="1">
      <c r="A364" s="53" t="s">
        <v>611</v>
      </c>
      <c r="B364" s="48" t="s">
        <v>99</v>
      </c>
      <c r="C364" s="47" t="s">
        <v>95</v>
      </c>
      <c r="D364" s="48" t="s">
        <v>74</v>
      </c>
      <c r="E364" s="47" t="s">
        <v>82</v>
      </c>
      <c r="F364" s="48" t="s">
        <v>86</v>
      </c>
      <c r="G364" s="48" t="s">
        <v>11</v>
      </c>
      <c r="H364" s="49" t="b">
        <v>0</v>
      </c>
      <c r="I364" s="52" t="b">
        <v>0</v>
      </c>
      <c r="J364" s="52" t="b">
        <v>0</v>
      </c>
      <c r="K364" s="52" t="b">
        <v>0</v>
      </c>
      <c r="L364" s="52" t="b">
        <v>0</v>
      </c>
      <c r="M364" s="52" t="b">
        <v>0</v>
      </c>
      <c r="N364" s="52" t="b">
        <v>0</v>
      </c>
      <c r="O364" s="52" t="b">
        <v>0</v>
      </c>
      <c r="P364" s="48" t="s">
        <v>87</v>
      </c>
      <c r="Q364" s="52" t="b">
        <v>0</v>
      </c>
      <c r="R364" s="52" t="b">
        <v>0</v>
      </c>
      <c r="S364" s="52" t="b">
        <v>0</v>
      </c>
      <c r="T364" s="52" t="b">
        <v>0</v>
      </c>
      <c r="V364" s="47"/>
      <c r="W364" s="47"/>
      <c r="X364" s="47"/>
      <c r="Y364" s="47"/>
      <c r="Z364" s="47"/>
      <c r="AA364" s="47"/>
      <c r="AB364" s="47"/>
      <c r="AC364" s="47"/>
      <c r="AD364" s="47"/>
      <c r="AE364" s="47"/>
      <c r="AF364" s="47"/>
      <c r="AG364" s="47"/>
      <c r="AH364" s="47"/>
      <c r="AI364" s="47"/>
      <c r="AJ364" s="47"/>
      <c r="AK364" s="47"/>
    </row>
    <row r="365" ht="17.25" customHeight="1">
      <c r="A365" s="47" t="s">
        <v>612</v>
      </c>
      <c r="B365" s="48" t="s">
        <v>80</v>
      </c>
      <c r="C365" s="47" t="s">
        <v>84</v>
      </c>
      <c r="D365" s="47" t="s">
        <v>74</v>
      </c>
      <c r="E365" s="47" t="s">
        <v>75</v>
      </c>
      <c r="F365" s="47" t="s">
        <v>76</v>
      </c>
      <c r="G365" s="47" t="s">
        <v>16</v>
      </c>
      <c r="H365" s="49" t="b">
        <v>1</v>
      </c>
      <c r="I365" s="49" t="b">
        <v>0</v>
      </c>
      <c r="J365" s="49"/>
      <c r="K365" s="49" t="b">
        <v>0</v>
      </c>
      <c r="L365" s="49" t="b">
        <v>0</v>
      </c>
      <c r="M365" s="49" t="b">
        <v>1</v>
      </c>
      <c r="N365" s="49" t="b">
        <v>0</v>
      </c>
      <c r="O365" s="49" t="b">
        <v>0</v>
      </c>
      <c r="P365" s="14" t="s">
        <v>78</v>
      </c>
      <c r="Q365" s="49" t="b">
        <v>0</v>
      </c>
      <c r="R365" s="49" t="b">
        <v>0</v>
      </c>
      <c r="S365" s="15" t="b">
        <v>0</v>
      </c>
      <c r="T365" s="15" t="b">
        <v>0</v>
      </c>
    </row>
    <row r="366" ht="17.25" customHeight="1">
      <c r="A366" s="47" t="s">
        <v>613</v>
      </c>
      <c r="B366" s="48" t="s">
        <v>72</v>
      </c>
      <c r="C366" s="47" t="s">
        <v>72</v>
      </c>
      <c r="D366" s="47" t="s">
        <v>100</v>
      </c>
      <c r="E366" s="47" t="s">
        <v>91</v>
      </c>
      <c r="F366" s="47" t="s">
        <v>76</v>
      </c>
      <c r="G366" s="47" t="s">
        <v>11</v>
      </c>
      <c r="H366" s="49" t="b">
        <v>1</v>
      </c>
      <c r="I366" s="49" t="b">
        <v>0</v>
      </c>
      <c r="J366" s="49"/>
      <c r="K366" s="49" t="b">
        <v>0</v>
      </c>
      <c r="L366" s="49" t="b">
        <v>0</v>
      </c>
      <c r="M366" s="49" t="b">
        <v>1</v>
      </c>
      <c r="N366" s="49" t="b">
        <v>0</v>
      </c>
      <c r="O366" s="49" t="b">
        <v>0</v>
      </c>
      <c r="P366" s="14" t="s">
        <v>78</v>
      </c>
      <c r="Q366" s="49" t="b">
        <v>1</v>
      </c>
      <c r="R366" s="49" t="b">
        <v>1</v>
      </c>
      <c r="S366" s="15" t="b">
        <v>0</v>
      </c>
      <c r="T366" s="14" t="b">
        <v>1</v>
      </c>
      <c r="W366" s="14" t="s">
        <v>614</v>
      </c>
      <c r="X366" s="47"/>
      <c r="Y366" s="47"/>
      <c r="Z366" s="47"/>
      <c r="AA366" s="47"/>
      <c r="AB366" s="47"/>
      <c r="AC366" s="47"/>
      <c r="AD366" s="47"/>
      <c r="AE366" s="47"/>
      <c r="AF366" s="47"/>
      <c r="AG366" s="47"/>
      <c r="AH366" s="47"/>
      <c r="AI366" s="47"/>
      <c r="AJ366" s="47"/>
      <c r="AK366" s="47"/>
    </row>
    <row r="367" ht="17.25" customHeight="1">
      <c r="A367" s="47" t="s">
        <v>615</v>
      </c>
      <c r="B367" s="48" t="s">
        <v>80</v>
      </c>
      <c r="C367" s="47" t="s">
        <v>84</v>
      </c>
      <c r="D367" s="47" t="s">
        <v>85</v>
      </c>
      <c r="E367" s="47" t="s">
        <v>101</v>
      </c>
      <c r="F367" s="47" t="s">
        <v>86</v>
      </c>
      <c r="G367" s="47" t="s">
        <v>16</v>
      </c>
      <c r="H367" s="49" t="b">
        <v>0</v>
      </c>
      <c r="I367" s="49" t="b">
        <v>0</v>
      </c>
      <c r="J367" s="49" t="b">
        <v>0</v>
      </c>
      <c r="K367" s="49" t="b">
        <v>0</v>
      </c>
      <c r="L367" s="49" t="b">
        <v>0</v>
      </c>
      <c r="M367" s="49" t="b">
        <v>0</v>
      </c>
      <c r="N367" s="49" t="b">
        <v>0</v>
      </c>
      <c r="O367" s="49" t="b">
        <v>0</v>
      </c>
      <c r="P367" s="14" t="s">
        <v>87</v>
      </c>
      <c r="Q367" s="49" t="b">
        <v>0</v>
      </c>
      <c r="R367" s="49" t="b">
        <v>0</v>
      </c>
      <c r="S367" s="15" t="b">
        <v>0</v>
      </c>
      <c r="T367" s="14" t="b">
        <v>0</v>
      </c>
      <c r="U367" s="47"/>
      <c r="V367" s="47"/>
      <c r="W367" s="47"/>
    </row>
    <row r="368" ht="17.25" customHeight="1">
      <c r="A368" s="47" t="s">
        <v>616</v>
      </c>
      <c r="B368" s="48" t="s">
        <v>80</v>
      </c>
      <c r="C368" s="48" t="s">
        <v>95</v>
      </c>
      <c r="D368" s="48" t="s">
        <v>142</v>
      </c>
      <c r="E368" s="47" t="s">
        <v>82</v>
      </c>
      <c r="F368" s="47" t="s">
        <v>86</v>
      </c>
      <c r="G368" s="47" t="s">
        <v>11</v>
      </c>
      <c r="H368" s="49" t="b">
        <v>0</v>
      </c>
      <c r="I368" s="49" t="b">
        <v>1</v>
      </c>
      <c r="J368" s="49" t="b">
        <v>0</v>
      </c>
      <c r="K368" s="49" t="b">
        <v>0</v>
      </c>
      <c r="L368" s="49" t="b">
        <v>0</v>
      </c>
      <c r="M368" s="49" t="b">
        <v>0</v>
      </c>
      <c r="N368" s="49"/>
      <c r="O368" s="49" t="b">
        <v>0</v>
      </c>
      <c r="P368" s="14" t="s">
        <v>134</v>
      </c>
      <c r="Q368" s="49" t="b">
        <v>0</v>
      </c>
      <c r="R368" s="49" t="b">
        <v>0</v>
      </c>
      <c r="S368" s="15" t="b">
        <v>0</v>
      </c>
      <c r="T368" s="15" t="b">
        <v>0</v>
      </c>
      <c r="U368" s="47"/>
      <c r="V368" s="47"/>
      <c r="W368" s="47"/>
    </row>
    <row r="369" ht="17.25" customHeight="1">
      <c r="A369" s="58" t="s">
        <v>617</v>
      </c>
      <c r="B369" s="48" t="s">
        <v>103</v>
      </c>
      <c r="C369" s="48" t="s">
        <v>103</v>
      </c>
      <c r="D369" s="47" t="s">
        <v>74</v>
      </c>
      <c r="E369" s="47" t="s">
        <v>82</v>
      </c>
      <c r="F369" s="47" t="s">
        <v>76</v>
      </c>
      <c r="G369" s="47" t="s">
        <v>10</v>
      </c>
      <c r="H369" s="49" t="b">
        <v>0</v>
      </c>
      <c r="I369" s="49" t="b">
        <v>0</v>
      </c>
      <c r="J369" s="49"/>
      <c r="K369" s="49" t="b">
        <v>0</v>
      </c>
      <c r="L369" s="49" t="b">
        <v>0</v>
      </c>
      <c r="M369" s="49" t="b">
        <v>1</v>
      </c>
      <c r="N369" s="49" t="b">
        <v>0</v>
      </c>
      <c r="O369" s="49" t="b">
        <v>0</v>
      </c>
      <c r="P369" s="14" t="s">
        <v>23</v>
      </c>
      <c r="Q369" s="49" t="b">
        <v>1</v>
      </c>
      <c r="R369" s="49" t="b">
        <v>1</v>
      </c>
      <c r="S369" s="15" t="b">
        <v>0</v>
      </c>
      <c r="T369" s="15" t="b">
        <v>0</v>
      </c>
      <c r="V369" s="14" t="s">
        <v>106</v>
      </c>
    </row>
    <row r="370" ht="17.25" customHeight="1">
      <c r="A370" s="47" t="s">
        <v>618</v>
      </c>
      <c r="B370" s="48" t="s">
        <v>80</v>
      </c>
      <c r="C370" s="47" t="s">
        <v>95</v>
      </c>
      <c r="D370" s="47" t="s">
        <v>100</v>
      </c>
      <c r="E370" s="47" t="s">
        <v>75</v>
      </c>
      <c r="F370" s="47" t="s">
        <v>76</v>
      </c>
      <c r="G370" s="47" t="s">
        <v>8</v>
      </c>
      <c r="H370" s="49" t="b">
        <v>1</v>
      </c>
      <c r="I370" s="49" t="b">
        <v>0</v>
      </c>
      <c r="J370" s="49" t="b">
        <v>0</v>
      </c>
      <c r="K370" s="49" t="b">
        <v>1</v>
      </c>
      <c r="L370" s="49" t="b">
        <v>1</v>
      </c>
      <c r="M370" s="49" t="b">
        <v>1</v>
      </c>
      <c r="N370" s="49" t="b">
        <v>0</v>
      </c>
      <c r="O370" s="49" t="b">
        <v>0</v>
      </c>
      <c r="P370" s="14" t="s">
        <v>87</v>
      </c>
      <c r="Q370" s="49" t="b">
        <v>1</v>
      </c>
      <c r="R370" s="49" t="b">
        <v>1</v>
      </c>
      <c r="S370" s="15" t="b">
        <v>0</v>
      </c>
      <c r="T370" s="15" t="b">
        <v>0</v>
      </c>
      <c r="X370" s="47"/>
      <c r="Y370" s="47"/>
      <c r="Z370" s="47"/>
      <c r="AA370" s="47"/>
      <c r="AB370" s="47"/>
      <c r="AC370" s="47"/>
      <c r="AD370" s="47"/>
      <c r="AE370" s="47"/>
      <c r="AF370" s="47"/>
      <c r="AG370" s="47"/>
      <c r="AH370" s="47"/>
      <c r="AI370" s="47"/>
      <c r="AJ370" s="47"/>
      <c r="AK370" s="47"/>
    </row>
    <row r="371" ht="17.25" customHeight="1">
      <c r="A371" s="58" t="s">
        <v>619</v>
      </c>
      <c r="B371" s="48" t="s">
        <v>103</v>
      </c>
      <c r="C371" s="48" t="s">
        <v>103</v>
      </c>
      <c r="D371" s="47" t="s">
        <v>100</v>
      </c>
      <c r="E371" s="47" t="s">
        <v>75</v>
      </c>
      <c r="F371" s="47" t="s">
        <v>76</v>
      </c>
      <c r="G371" s="47" t="s">
        <v>10</v>
      </c>
      <c r="H371" s="49" t="b">
        <v>0</v>
      </c>
      <c r="I371" s="49" t="b">
        <v>0</v>
      </c>
      <c r="J371" s="49" t="b">
        <v>0</v>
      </c>
      <c r="K371" s="49" t="b">
        <v>0</v>
      </c>
      <c r="L371" s="49" t="b">
        <v>0</v>
      </c>
      <c r="M371" s="49" t="b">
        <v>1</v>
      </c>
      <c r="N371" s="49" t="b">
        <v>0</v>
      </c>
      <c r="O371" s="49" t="b">
        <v>0</v>
      </c>
      <c r="P371" s="14" t="s">
        <v>87</v>
      </c>
      <c r="Q371" s="49" t="b">
        <v>1</v>
      </c>
      <c r="R371" s="49" t="b">
        <v>1</v>
      </c>
      <c r="S371" s="15" t="b">
        <v>0</v>
      </c>
      <c r="T371" s="15" t="b">
        <v>0</v>
      </c>
      <c r="V371" s="14" t="s">
        <v>106</v>
      </c>
    </row>
    <row r="372" ht="17.25" customHeight="1">
      <c r="A372" s="47" t="s">
        <v>620</v>
      </c>
      <c r="B372" s="48" t="s">
        <v>72</v>
      </c>
      <c r="C372" s="47" t="s">
        <v>72</v>
      </c>
      <c r="D372" s="47" t="s">
        <v>122</v>
      </c>
      <c r="E372" s="47" t="s">
        <v>101</v>
      </c>
      <c r="F372" s="47" t="s">
        <v>86</v>
      </c>
      <c r="G372" s="47" t="s">
        <v>11</v>
      </c>
      <c r="H372" s="49" t="b">
        <v>1</v>
      </c>
      <c r="I372" s="49" t="b">
        <v>0</v>
      </c>
      <c r="J372" s="49"/>
      <c r="K372" s="49" t="b">
        <v>0</v>
      </c>
      <c r="L372" s="49" t="b">
        <v>0</v>
      </c>
      <c r="M372" s="49" t="b">
        <v>0</v>
      </c>
      <c r="N372" s="49" t="b">
        <v>0</v>
      </c>
      <c r="O372" s="49" t="b">
        <v>0</v>
      </c>
      <c r="P372" s="14" t="s">
        <v>113</v>
      </c>
      <c r="Q372" s="49" t="b">
        <v>1</v>
      </c>
      <c r="R372" s="49" t="b">
        <v>0</v>
      </c>
      <c r="S372" s="15" t="b">
        <v>0</v>
      </c>
      <c r="T372" s="15" t="b">
        <v>0</v>
      </c>
    </row>
    <row r="373" ht="17.25" customHeight="1">
      <c r="A373" s="50" t="s">
        <v>621</v>
      </c>
      <c r="B373" s="48" t="s">
        <v>72</v>
      </c>
      <c r="C373" s="47" t="s">
        <v>72</v>
      </c>
      <c r="D373" s="47" t="s">
        <v>74</v>
      </c>
      <c r="E373" s="47" t="s">
        <v>96</v>
      </c>
      <c r="F373" s="47" t="s">
        <v>76</v>
      </c>
      <c r="G373" s="47" t="s">
        <v>8</v>
      </c>
      <c r="H373" s="49" t="b">
        <v>0</v>
      </c>
      <c r="I373" s="49" t="b">
        <v>0</v>
      </c>
      <c r="J373" s="49"/>
      <c r="K373" s="49" t="b">
        <v>0</v>
      </c>
      <c r="L373" s="49" t="b">
        <v>0</v>
      </c>
      <c r="M373" s="49" t="b">
        <v>1</v>
      </c>
      <c r="N373" s="49" t="b">
        <v>0</v>
      </c>
      <c r="O373" s="49" t="b">
        <v>0</v>
      </c>
      <c r="P373" s="14" t="s">
        <v>23</v>
      </c>
      <c r="Q373" s="49" t="b">
        <v>1</v>
      </c>
      <c r="R373" s="49" t="b">
        <v>1</v>
      </c>
      <c r="S373" s="15" t="b">
        <v>0</v>
      </c>
      <c r="T373" s="15" t="b">
        <v>0</v>
      </c>
      <c r="V373" s="14" t="s">
        <v>106</v>
      </c>
    </row>
    <row r="374" ht="17.25" customHeight="1">
      <c r="A374" s="47" t="s">
        <v>622</v>
      </c>
      <c r="B374" s="48" t="s">
        <v>80</v>
      </c>
      <c r="C374" s="47" t="s">
        <v>84</v>
      </c>
      <c r="D374" s="47" t="s">
        <v>122</v>
      </c>
      <c r="E374" s="47" t="s">
        <v>101</v>
      </c>
      <c r="F374" s="47" t="s">
        <v>86</v>
      </c>
      <c r="G374" s="47" t="s">
        <v>16</v>
      </c>
      <c r="H374" s="49" t="b">
        <v>0</v>
      </c>
      <c r="I374" s="49" t="b">
        <v>1</v>
      </c>
      <c r="J374" s="49"/>
      <c r="K374" s="49" t="b">
        <v>0</v>
      </c>
      <c r="L374" s="49" t="b">
        <v>0</v>
      </c>
      <c r="M374" s="49" t="b">
        <v>0</v>
      </c>
      <c r="N374" s="49" t="b">
        <v>0</v>
      </c>
      <c r="O374" s="49" t="b">
        <v>0</v>
      </c>
      <c r="P374" s="14" t="s">
        <v>113</v>
      </c>
      <c r="Q374" s="49" t="b">
        <v>0</v>
      </c>
      <c r="R374" s="49" t="b">
        <v>0</v>
      </c>
      <c r="S374" s="47"/>
      <c r="T374" s="47"/>
      <c r="U374" s="47"/>
      <c r="V374" s="47"/>
      <c r="W374" s="47"/>
    </row>
    <row r="375" ht="17.25" customHeight="1">
      <c r="A375" s="58" t="s">
        <v>623</v>
      </c>
      <c r="B375" s="48" t="s">
        <v>80</v>
      </c>
      <c r="C375" s="47"/>
      <c r="D375" s="47"/>
      <c r="E375" s="47"/>
      <c r="F375" s="47"/>
      <c r="G375" s="47"/>
      <c r="H375" s="49" t="b">
        <v>0</v>
      </c>
      <c r="I375" s="49" t="b">
        <v>0</v>
      </c>
      <c r="J375" s="49" t="b">
        <v>0</v>
      </c>
      <c r="K375" s="49" t="b">
        <v>0</v>
      </c>
      <c r="L375" s="49" t="b">
        <v>0</v>
      </c>
      <c r="M375" s="49" t="b">
        <v>0</v>
      </c>
      <c r="N375" s="49" t="b">
        <v>0</v>
      </c>
      <c r="O375" s="49" t="b">
        <v>0</v>
      </c>
      <c r="P375" s="14"/>
      <c r="Q375" s="49" t="b">
        <v>0</v>
      </c>
      <c r="R375" s="49" t="b">
        <v>0</v>
      </c>
      <c r="S375" s="15" t="b">
        <v>0</v>
      </c>
      <c r="T375" s="15" t="b">
        <v>0</v>
      </c>
      <c r="V375" s="14"/>
    </row>
    <row r="376" ht="17.25" customHeight="1">
      <c r="A376" s="47" t="s">
        <v>624</v>
      </c>
      <c r="B376" s="48" t="s">
        <v>288</v>
      </c>
      <c r="C376" s="47" t="s">
        <v>84</v>
      </c>
      <c r="D376" s="47" t="s">
        <v>85</v>
      </c>
      <c r="E376" s="47" t="s">
        <v>101</v>
      </c>
      <c r="F376" s="47" t="s">
        <v>86</v>
      </c>
      <c r="G376" s="47" t="s">
        <v>15</v>
      </c>
      <c r="H376" s="49" t="b">
        <v>0</v>
      </c>
      <c r="I376" s="49" t="b">
        <v>0</v>
      </c>
      <c r="J376" s="49" t="s">
        <v>242</v>
      </c>
      <c r="K376" s="49" t="b">
        <v>0</v>
      </c>
      <c r="L376" s="49" t="b">
        <v>0</v>
      </c>
      <c r="M376" s="49" t="b">
        <v>0</v>
      </c>
      <c r="N376" s="49" t="b">
        <v>0</v>
      </c>
      <c r="O376" s="49" t="b">
        <v>0</v>
      </c>
      <c r="P376" s="14" t="s">
        <v>87</v>
      </c>
      <c r="Q376" s="49" t="b">
        <v>0</v>
      </c>
      <c r="R376" s="49" t="b">
        <v>0</v>
      </c>
      <c r="S376" s="15" t="b">
        <v>0</v>
      </c>
      <c r="T376" s="15" t="b">
        <v>0</v>
      </c>
      <c r="U376" s="47" t="s">
        <v>215</v>
      </c>
      <c r="V376" s="47"/>
      <c r="W376" s="47" t="s">
        <v>625</v>
      </c>
    </row>
    <row r="377" ht="17.25" customHeight="1">
      <c r="A377" s="58" t="s">
        <v>626</v>
      </c>
      <c r="B377" s="48" t="s">
        <v>72</v>
      </c>
      <c r="C377" s="47" t="s">
        <v>72</v>
      </c>
      <c r="D377" s="47" t="s">
        <v>122</v>
      </c>
      <c r="E377" s="47" t="s">
        <v>75</v>
      </c>
      <c r="F377" s="47" t="s">
        <v>86</v>
      </c>
      <c r="G377" s="47" t="s">
        <v>16</v>
      </c>
      <c r="H377" s="49" t="b">
        <v>0</v>
      </c>
      <c r="I377" s="49" t="b">
        <v>0</v>
      </c>
      <c r="J377" s="49" t="b">
        <v>0</v>
      </c>
      <c r="K377" s="49" t="b">
        <v>0</v>
      </c>
      <c r="L377" s="49" t="b">
        <v>0</v>
      </c>
      <c r="M377" s="49" t="b">
        <v>0</v>
      </c>
      <c r="N377" s="49" t="b">
        <v>0</v>
      </c>
      <c r="O377" s="49" t="b">
        <v>0</v>
      </c>
      <c r="P377" s="14" t="s">
        <v>87</v>
      </c>
      <c r="Q377" s="49" t="b">
        <v>1</v>
      </c>
      <c r="R377" s="49" t="b">
        <v>0</v>
      </c>
      <c r="S377" s="15" t="b">
        <v>0</v>
      </c>
      <c r="T377" s="15" t="b">
        <v>0</v>
      </c>
      <c r="V377" s="14" t="s">
        <v>106</v>
      </c>
    </row>
    <row r="378" ht="17.25" customHeight="1">
      <c r="A378" s="51" t="s">
        <v>627</v>
      </c>
      <c r="B378" s="51" t="s">
        <v>80</v>
      </c>
      <c r="C378" s="51" t="s">
        <v>73</v>
      </c>
      <c r="D378" s="51" t="s">
        <v>122</v>
      </c>
      <c r="E378" s="47" t="s">
        <v>82</v>
      </c>
      <c r="F378" s="51" t="s">
        <v>86</v>
      </c>
      <c r="G378" s="48" t="s">
        <v>131</v>
      </c>
      <c r="H378" s="52" t="b">
        <v>0</v>
      </c>
      <c r="I378" s="52" t="b">
        <v>0</v>
      </c>
      <c r="J378" s="52"/>
      <c r="K378" s="52" t="b">
        <v>0</v>
      </c>
      <c r="L378" s="52" t="b">
        <v>0</v>
      </c>
      <c r="M378" s="52" t="b">
        <v>0</v>
      </c>
      <c r="N378" s="52" t="b">
        <v>0</v>
      </c>
      <c r="O378" s="52" t="b">
        <v>0</v>
      </c>
      <c r="P378" s="48" t="s">
        <v>87</v>
      </c>
      <c r="Q378" s="52" t="b">
        <v>0</v>
      </c>
      <c r="R378" s="52" t="b">
        <v>0</v>
      </c>
      <c r="S378" s="52" t="b">
        <v>0</v>
      </c>
      <c r="T378" s="52" t="b">
        <v>0</v>
      </c>
      <c r="U378" s="47"/>
      <c r="V378" s="47"/>
      <c r="W378" s="47"/>
      <c r="X378" s="47"/>
      <c r="Y378" s="47"/>
      <c r="Z378" s="47"/>
      <c r="AA378" s="47"/>
      <c r="AB378" s="47"/>
      <c r="AC378" s="47"/>
      <c r="AD378" s="47"/>
      <c r="AE378" s="47"/>
      <c r="AF378" s="47"/>
      <c r="AG378" s="47"/>
      <c r="AH378" s="47"/>
      <c r="AI378" s="47"/>
      <c r="AJ378" s="47"/>
      <c r="AK378" s="47"/>
    </row>
    <row r="379" ht="17.25" customHeight="1">
      <c r="A379" s="50" t="s">
        <v>628</v>
      </c>
      <c r="B379" s="48" t="s">
        <v>72</v>
      </c>
      <c r="C379" s="47" t="s">
        <v>72</v>
      </c>
      <c r="D379" s="47" t="s">
        <v>85</v>
      </c>
      <c r="E379" s="47" t="s">
        <v>629</v>
      </c>
      <c r="F379" s="47" t="s">
        <v>86</v>
      </c>
      <c r="G379" s="47" t="s">
        <v>11</v>
      </c>
      <c r="H379" s="49" t="b">
        <v>1</v>
      </c>
      <c r="I379" s="49" t="b">
        <v>0</v>
      </c>
      <c r="J379" s="49" t="b">
        <v>0</v>
      </c>
      <c r="K379" s="49" t="b">
        <v>0</v>
      </c>
      <c r="L379" s="49" t="b">
        <v>0</v>
      </c>
      <c r="M379" s="49" t="b">
        <v>0</v>
      </c>
      <c r="N379" s="49" t="b">
        <v>0</v>
      </c>
      <c r="O379" s="49" t="b">
        <v>0</v>
      </c>
      <c r="P379" s="14" t="s">
        <v>138</v>
      </c>
      <c r="Q379" s="49" t="b">
        <v>1</v>
      </c>
      <c r="R379" s="49" t="b">
        <v>0</v>
      </c>
      <c r="S379" s="15" t="b">
        <v>0</v>
      </c>
      <c r="T379" s="14" t="b">
        <v>0</v>
      </c>
      <c r="V379" s="14" t="s">
        <v>106</v>
      </c>
      <c r="X379" s="47"/>
      <c r="Y379" s="47"/>
      <c r="Z379" s="47"/>
      <c r="AA379" s="47"/>
      <c r="AB379" s="47"/>
      <c r="AC379" s="47"/>
      <c r="AD379" s="47"/>
      <c r="AE379" s="47"/>
      <c r="AF379" s="47"/>
      <c r="AG379" s="47"/>
      <c r="AH379" s="47"/>
      <c r="AI379" s="47"/>
      <c r="AJ379" s="47"/>
      <c r="AK379" s="47"/>
    </row>
    <row r="380" ht="17.25" customHeight="1">
      <c r="A380" s="77" t="s">
        <v>630</v>
      </c>
      <c r="B380" s="51" t="s">
        <v>631</v>
      </c>
      <c r="C380" s="51" t="s">
        <v>73</v>
      </c>
      <c r="D380" s="51" t="s">
        <v>85</v>
      </c>
      <c r="E380" s="47" t="s">
        <v>82</v>
      </c>
      <c r="F380" s="51" t="s">
        <v>86</v>
      </c>
      <c r="G380" s="48" t="s">
        <v>21</v>
      </c>
      <c r="H380" s="52" t="b">
        <v>0</v>
      </c>
      <c r="I380" s="52" t="b">
        <v>0</v>
      </c>
      <c r="J380" s="52"/>
      <c r="K380" s="52" t="b">
        <v>0</v>
      </c>
      <c r="L380" s="52" t="b">
        <v>0</v>
      </c>
      <c r="M380" s="52" t="b">
        <v>0</v>
      </c>
      <c r="N380" s="52" t="b">
        <v>0</v>
      </c>
      <c r="O380" s="52" t="b">
        <v>0</v>
      </c>
      <c r="P380" s="48" t="s">
        <v>23</v>
      </c>
      <c r="Q380" s="52" t="b">
        <v>0</v>
      </c>
      <c r="R380" s="52" t="b">
        <v>0</v>
      </c>
      <c r="S380" s="52" t="b">
        <v>0</v>
      </c>
      <c r="T380" s="52" t="b">
        <v>0</v>
      </c>
      <c r="U380" s="47"/>
      <c r="V380" s="47"/>
      <c r="W380" s="47"/>
    </row>
    <row r="381" ht="17.25" customHeight="1">
      <c r="A381" s="47" t="s">
        <v>632</v>
      </c>
      <c r="B381" s="48" t="s">
        <v>633</v>
      </c>
      <c r="C381" s="47" t="s">
        <v>84</v>
      </c>
      <c r="D381" s="47" t="s">
        <v>90</v>
      </c>
      <c r="E381" s="47" t="s">
        <v>75</v>
      </c>
      <c r="F381" s="47" t="s">
        <v>86</v>
      </c>
      <c r="G381" s="47" t="s">
        <v>16</v>
      </c>
      <c r="H381" s="49" t="b">
        <v>1</v>
      </c>
      <c r="I381" s="49" t="b">
        <v>0</v>
      </c>
      <c r="J381" s="49"/>
      <c r="K381" s="49" t="b">
        <v>0</v>
      </c>
      <c r="L381" s="49" t="b">
        <v>0</v>
      </c>
      <c r="M381" s="49" t="b">
        <v>0</v>
      </c>
      <c r="N381" s="49" t="b">
        <v>0</v>
      </c>
      <c r="O381" s="49" t="b">
        <v>0</v>
      </c>
      <c r="P381" s="14" t="s">
        <v>113</v>
      </c>
      <c r="Q381" s="49" t="b">
        <v>0</v>
      </c>
      <c r="R381" s="49" t="b">
        <v>0</v>
      </c>
      <c r="S381" s="15" t="b">
        <v>0</v>
      </c>
      <c r="T381" s="15" t="b">
        <v>0</v>
      </c>
      <c r="U381" s="47"/>
      <c r="V381" s="47"/>
      <c r="W381" s="47"/>
      <c r="X381" s="47"/>
      <c r="Y381" s="47"/>
      <c r="Z381" s="47"/>
      <c r="AA381" s="47"/>
      <c r="AB381" s="47"/>
      <c r="AC381" s="47"/>
      <c r="AD381" s="47"/>
      <c r="AE381" s="47"/>
      <c r="AF381" s="47"/>
      <c r="AG381" s="47"/>
      <c r="AH381" s="47"/>
      <c r="AI381" s="47"/>
      <c r="AJ381" s="47"/>
      <c r="AK381" s="47"/>
    </row>
    <row r="382" ht="17.25" customHeight="1">
      <c r="A382" s="50" t="s">
        <v>634</v>
      </c>
      <c r="B382" s="48" t="s">
        <v>72</v>
      </c>
      <c r="C382" s="47" t="s">
        <v>72</v>
      </c>
      <c r="D382" s="47" t="s">
        <v>74</v>
      </c>
      <c r="E382" s="47" t="s">
        <v>91</v>
      </c>
      <c r="F382" s="47" t="s">
        <v>76</v>
      </c>
      <c r="G382" s="47" t="s">
        <v>16</v>
      </c>
      <c r="H382" s="49" t="b">
        <v>0</v>
      </c>
      <c r="I382" s="49" t="b">
        <v>0</v>
      </c>
      <c r="J382" s="49" t="b">
        <v>0</v>
      </c>
      <c r="K382" s="49" t="b">
        <v>0</v>
      </c>
      <c r="L382" s="49" t="b">
        <v>0</v>
      </c>
      <c r="M382" s="49" t="b">
        <v>1</v>
      </c>
      <c r="N382" s="49" t="b">
        <v>0</v>
      </c>
      <c r="O382" s="49" t="b">
        <v>0</v>
      </c>
      <c r="P382" s="14" t="s">
        <v>134</v>
      </c>
      <c r="Q382" s="49" t="b">
        <v>1</v>
      </c>
      <c r="R382" s="49" t="b">
        <v>0</v>
      </c>
      <c r="S382" s="15" t="b">
        <v>0</v>
      </c>
      <c r="T382" s="15" t="b">
        <v>0</v>
      </c>
      <c r="V382" s="14" t="s">
        <v>106</v>
      </c>
      <c r="W382" s="14" t="s">
        <v>635</v>
      </c>
    </row>
    <row r="383" ht="17.25" customHeight="1">
      <c r="A383" s="50" t="s">
        <v>636</v>
      </c>
      <c r="B383" s="48" t="s">
        <v>72</v>
      </c>
      <c r="C383" s="47" t="s">
        <v>72</v>
      </c>
      <c r="D383" s="47" t="s">
        <v>100</v>
      </c>
      <c r="E383" s="47" t="s">
        <v>91</v>
      </c>
      <c r="F383" s="47" t="s">
        <v>76</v>
      </c>
      <c r="G383" s="47" t="s">
        <v>11</v>
      </c>
      <c r="H383" s="49" t="b">
        <v>1</v>
      </c>
      <c r="I383" s="49" t="b">
        <v>0</v>
      </c>
      <c r="J383" s="49" t="b">
        <v>0</v>
      </c>
      <c r="K383" s="49" t="b">
        <v>0</v>
      </c>
      <c r="L383" s="49" t="b">
        <v>0</v>
      </c>
      <c r="M383" s="49" t="b">
        <v>1</v>
      </c>
      <c r="N383" s="49" t="b">
        <v>0</v>
      </c>
      <c r="O383" s="49" t="b">
        <v>0</v>
      </c>
      <c r="P383" s="14" t="s">
        <v>134</v>
      </c>
      <c r="Q383" s="49" t="b">
        <v>1</v>
      </c>
      <c r="R383" s="49" t="b">
        <v>1</v>
      </c>
      <c r="S383" s="15" t="b">
        <v>0</v>
      </c>
      <c r="T383" s="15" t="b">
        <v>0</v>
      </c>
      <c r="V383" s="14" t="s">
        <v>106</v>
      </c>
    </row>
    <row r="384" ht="17.25" customHeight="1">
      <c r="A384" s="50" t="s">
        <v>637</v>
      </c>
      <c r="B384" s="48" t="s">
        <v>103</v>
      </c>
      <c r="C384" s="48" t="s">
        <v>103</v>
      </c>
      <c r="D384" s="47" t="s">
        <v>100</v>
      </c>
      <c r="E384" s="47" t="s">
        <v>91</v>
      </c>
      <c r="F384" s="47" t="s">
        <v>76</v>
      </c>
      <c r="G384" s="47" t="s">
        <v>10</v>
      </c>
      <c r="H384" s="49" t="b">
        <v>1</v>
      </c>
      <c r="I384" s="49" t="b">
        <v>0</v>
      </c>
      <c r="J384" s="49" t="b">
        <v>0</v>
      </c>
      <c r="K384" s="49" t="b">
        <v>0</v>
      </c>
      <c r="L384" s="49" t="b">
        <v>0</v>
      </c>
      <c r="M384" s="49" t="b">
        <v>0</v>
      </c>
      <c r="N384" s="49" t="b">
        <v>0</v>
      </c>
      <c r="O384" s="49" t="b">
        <v>0</v>
      </c>
      <c r="P384" s="14" t="s">
        <v>134</v>
      </c>
      <c r="Q384" s="49" t="b">
        <v>0</v>
      </c>
      <c r="R384" s="49" t="b">
        <v>0</v>
      </c>
      <c r="S384" s="14" t="b">
        <v>0</v>
      </c>
      <c r="T384" s="14" t="b">
        <v>0</v>
      </c>
      <c r="V384" s="47"/>
      <c r="W384" s="47"/>
    </row>
    <row r="385" ht="17.25" customHeight="1">
      <c r="A385" s="50" t="s">
        <v>638</v>
      </c>
      <c r="B385" s="48" t="s">
        <v>72</v>
      </c>
      <c r="C385" s="48" t="s">
        <v>72</v>
      </c>
      <c r="D385" s="47" t="s">
        <v>174</v>
      </c>
      <c r="E385" s="47" t="s">
        <v>96</v>
      </c>
      <c r="F385" s="47" t="s">
        <v>76</v>
      </c>
      <c r="G385" s="47" t="s">
        <v>21</v>
      </c>
      <c r="H385" s="49" t="b">
        <v>0</v>
      </c>
      <c r="I385" s="49" t="b">
        <v>1</v>
      </c>
      <c r="J385" s="49"/>
      <c r="K385" s="49" t="b">
        <v>0</v>
      </c>
      <c r="L385" s="49" t="b">
        <v>0</v>
      </c>
      <c r="M385" s="49" t="b">
        <v>0</v>
      </c>
      <c r="N385" s="49" t="b">
        <v>0</v>
      </c>
      <c r="O385" s="49" t="b">
        <v>0</v>
      </c>
      <c r="P385" s="57"/>
      <c r="Q385" s="49" t="b">
        <v>0</v>
      </c>
      <c r="R385" s="49" t="b">
        <v>1</v>
      </c>
      <c r="V385" s="47"/>
      <c r="W385" s="47"/>
      <c r="X385" s="47"/>
      <c r="Y385" s="47"/>
      <c r="Z385" s="47"/>
      <c r="AA385" s="47"/>
      <c r="AB385" s="47"/>
      <c r="AC385" s="47"/>
      <c r="AD385" s="47"/>
      <c r="AE385" s="47"/>
      <c r="AF385" s="47"/>
      <c r="AG385" s="47"/>
      <c r="AH385" s="47"/>
      <c r="AI385" s="47"/>
      <c r="AJ385" s="47"/>
      <c r="AK385" s="47"/>
    </row>
    <row r="386" ht="17.25" customHeight="1">
      <c r="A386" s="70" t="s">
        <v>639</v>
      </c>
      <c r="B386" s="70" t="s">
        <v>640</v>
      </c>
      <c r="C386" s="70" t="s">
        <v>73</v>
      </c>
      <c r="D386" s="70" t="s">
        <v>74</v>
      </c>
      <c r="E386" s="67" t="s">
        <v>82</v>
      </c>
      <c r="F386" s="67" t="s">
        <v>76</v>
      </c>
      <c r="G386" s="67" t="s">
        <v>338</v>
      </c>
      <c r="H386" s="69" t="b">
        <v>0</v>
      </c>
      <c r="I386" s="69" t="b">
        <v>0</v>
      </c>
      <c r="J386" s="69"/>
      <c r="K386" s="69" t="b">
        <v>0</v>
      </c>
      <c r="L386" s="69" t="b">
        <v>0</v>
      </c>
      <c r="M386" s="69" t="b">
        <v>0</v>
      </c>
      <c r="N386" s="69" t="b">
        <v>0</v>
      </c>
      <c r="O386" s="69" t="b">
        <v>0</v>
      </c>
      <c r="P386" s="70" t="s">
        <v>87</v>
      </c>
      <c r="Q386" s="69" t="b">
        <v>0</v>
      </c>
      <c r="R386" s="84"/>
      <c r="S386" s="61"/>
      <c r="T386" s="61"/>
      <c r="U386" s="61"/>
      <c r="V386" s="61"/>
      <c r="W386" s="61"/>
      <c r="X386" s="47"/>
      <c r="Y386" s="47"/>
      <c r="Z386" s="47"/>
      <c r="AA386" s="47"/>
      <c r="AB386" s="47"/>
      <c r="AC386" s="47"/>
      <c r="AD386" s="47"/>
      <c r="AE386" s="47"/>
      <c r="AF386" s="47"/>
      <c r="AG386" s="47"/>
      <c r="AH386" s="47"/>
      <c r="AI386" s="47"/>
      <c r="AJ386" s="47"/>
      <c r="AK386" s="47"/>
    </row>
    <row r="387" ht="17.25" customHeight="1">
      <c r="A387" s="50" t="s">
        <v>641</v>
      </c>
      <c r="B387" s="48" t="s">
        <v>80</v>
      </c>
      <c r="C387" s="48" t="s">
        <v>84</v>
      </c>
      <c r="D387" s="47" t="s">
        <v>205</v>
      </c>
      <c r="E387" s="47" t="s">
        <v>96</v>
      </c>
      <c r="F387" s="47" t="s">
        <v>86</v>
      </c>
      <c r="G387" s="47" t="s">
        <v>15</v>
      </c>
      <c r="H387" s="49" t="b">
        <v>0</v>
      </c>
      <c r="I387" s="49" t="b">
        <v>1</v>
      </c>
      <c r="J387" s="49" t="s">
        <v>242</v>
      </c>
      <c r="K387" s="49" t="b">
        <v>0</v>
      </c>
      <c r="L387" s="49" t="b">
        <v>0</v>
      </c>
      <c r="M387" s="49" t="b">
        <v>0</v>
      </c>
      <c r="N387" s="49" t="b">
        <v>0</v>
      </c>
      <c r="O387" s="49" t="b">
        <v>0</v>
      </c>
      <c r="P387" s="14" t="s">
        <v>23</v>
      </c>
      <c r="Q387" s="49" t="b">
        <v>0</v>
      </c>
      <c r="R387" s="49" t="b">
        <v>0</v>
      </c>
      <c r="S387" s="15" t="b">
        <v>0</v>
      </c>
      <c r="T387" s="15" t="b">
        <v>0</v>
      </c>
      <c r="U387" s="47"/>
      <c r="V387" s="47"/>
      <c r="W387" s="47" t="s">
        <v>517</v>
      </c>
      <c r="X387" s="47"/>
      <c r="Y387" s="47"/>
      <c r="Z387" s="47"/>
      <c r="AA387" s="47"/>
      <c r="AB387" s="47"/>
      <c r="AC387" s="47"/>
      <c r="AD387" s="47"/>
      <c r="AE387" s="47"/>
      <c r="AF387" s="47"/>
      <c r="AG387" s="47"/>
      <c r="AH387" s="47"/>
      <c r="AI387" s="47"/>
      <c r="AJ387" s="47"/>
      <c r="AK387" s="47"/>
    </row>
    <row r="388" ht="17.25" customHeight="1">
      <c r="A388" s="47" t="s">
        <v>642</v>
      </c>
      <c r="B388" s="48" t="s">
        <v>99</v>
      </c>
      <c r="C388" s="47" t="s">
        <v>95</v>
      </c>
      <c r="D388" s="47" t="s">
        <v>142</v>
      </c>
      <c r="E388" s="47" t="s">
        <v>75</v>
      </c>
      <c r="F388" s="47" t="s">
        <v>86</v>
      </c>
      <c r="G388" s="47" t="s">
        <v>21</v>
      </c>
      <c r="H388" s="49" t="b">
        <v>0</v>
      </c>
      <c r="I388" s="49" t="b">
        <v>0</v>
      </c>
      <c r="J388" s="49"/>
      <c r="K388" s="49" t="b">
        <v>0</v>
      </c>
      <c r="L388" s="49" t="b">
        <v>0</v>
      </c>
      <c r="M388" s="49" t="b">
        <v>1</v>
      </c>
      <c r="N388" s="49" t="b">
        <v>0</v>
      </c>
      <c r="O388" s="49" t="b">
        <v>1</v>
      </c>
      <c r="P388" s="57"/>
      <c r="Q388" s="49" t="b">
        <v>1</v>
      </c>
      <c r="R388" s="49" t="b">
        <v>1</v>
      </c>
      <c r="S388" s="15" t="b">
        <v>0</v>
      </c>
      <c r="T388" s="15" t="b">
        <v>0</v>
      </c>
      <c r="W388" s="14" t="s">
        <v>643</v>
      </c>
    </row>
    <row r="389" ht="17.25" customHeight="1">
      <c r="A389" s="47" t="s">
        <v>644</v>
      </c>
      <c r="B389" s="48" t="s">
        <v>285</v>
      </c>
      <c r="C389" s="47" t="s">
        <v>73</v>
      </c>
      <c r="D389" s="47" t="s">
        <v>122</v>
      </c>
      <c r="E389" s="47" t="s">
        <v>82</v>
      </c>
      <c r="F389" s="47" t="s">
        <v>86</v>
      </c>
      <c r="G389" s="47" t="s">
        <v>131</v>
      </c>
      <c r="H389" s="49" t="b">
        <v>0</v>
      </c>
      <c r="I389" s="49" t="b">
        <v>0</v>
      </c>
      <c r="J389" s="49"/>
      <c r="K389" s="49" t="b">
        <v>0</v>
      </c>
      <c r="L389" s="49" t="b">
        <v>0</v>
      </c>
      <c r="M389" s="49" t="b">
        <v>0</v>
      </c>
      <c r="N389" s="49" t="b">
        <v>0</v>
      </c>
      <c r="O389" s="49" t="b">
        <v>0</v>
      </c>
      <c r="P389" s="14" t="s">
        <v>78</v>
      </c>
      <c r="Q389" s="49" t="b">
        <v>0</v>
      </c>
      <c r="R389" s="49" t="b">
        <v>1</v>
      </c>
      <c r="S389" s="15" t="b">
        <v>0</v>
      </c>
      <c r="T389" s="15" t="b">
        <v>0</v>
      </c>
      <c r="U389" s="47"/>
      <c r="V389" s="47"/>
      <c r="W389" s="47"/>
    </row>
    <row r="390" ht="17.25" customHeight="1">
      <c r="A390" s="47" t="s">
        <v>645</v>
      </c>
      <c r="B390" s="48" t="s">
        <v>80</v>
      </c>
      <c r="C390" s="48" t="s">
        <v>84</v>
      </c>
      <c r="D390" s="47" t="s">
        <v>205</v>
      </c>
      <c r="E390" s="47" t="s">
        <v>75</v>
      </c>
      <c r="F390" s="47" t="s">
        <v>86</v>
      </c>
      <c r="G390" s="47" t="s">
        <v>16</v>
      </c>
      <c r="H390" s="49" t="b">
        <v>0</v>
      </c>
      <c r="I390" s="49" t="b">
        <v>1</v>
      </c>
      <c r="J390" s="49"/>
      <c r="K390" s="49" t="b">
        <v>0</v>
      </c>
      <c r="L390" s="49" t="b">
        <v>0</v>
      </c>
      <c r="M390" s="49" t="b">
        <v>0</v>
      </c>
      <c r="N390" s="49" t="b">
        <v>0</v>
      </c>
      <c r="O390" s="49" t="b">
        <v>0</v>
      </c>
      <c r="P390" s="14" t="s">
        <v>23</v>
      </c>
      <c r="Q390" s="49" t="b">
        <v>0</v>
      </c>
      <c r="R390" s="49" t="b">
        <v>0</v>
      </c>
      <c r="S390" s="15" t="b">
        <v>0</v>
      </c>
      <c r="T390" s="15" t="b">
        <v>0</v>
      </c>
      <c r="U390" s="47"/>
      <c r="V390" s="47"/>
      <c r="W390" s="47" t="s">
        <v>646</v>
      </c>
    </row>
    <row r="391" ht="17.25" customHeight="1">
      <c r="A391" s="47" t="s">
        <v>647</v>
      </c>
      <c r="B391" s="48" t="s">
        <v>80</v>
      </c>
      <c r="C391" s="47" t="s">
        <v>110</v>
      </c>
      <c r="D391" s="47" t="s">
        <v>122</v>
      </c>
      <c r="E391" s="47" t="s">
        <v>82</v>
      </c>
      <c r="F391" s="47" t="s">
        <v>86</v>
      </c>
      <c r="G391" s="47" t="s">
        <v>16</v>
      </c>
      <c r="H391" s="49" t="b">
        <v>0</v>
      </c>
      <c r="I391" s="49" t="b">
        <v>1</v>
      </c>
      <c r="J391" s="47"/>
      <c r="K391" s="49" t="b">
        <v>0</v>
      </c>
      <c r="L391" s="49" t="b">
        <v>0</v>
      </c>
      <c r="M391" s="49" t="b">
        <v>0</v>
      </c>
      <c r="N391" s="49" t="b">
        <v>0</v>
      </c>
      <c r="O391" s="49" t="b">
        <v>0</v>
      </c>
      <c r="P391" s="14" t="s">
        <v>23</v>
      </c>
      <c r="Q391" s="49" t="b">
        <v>0</v>
      </c>
      <c r="R391" s="49" t="b">
        <v>0</v>
      </c>
      <c r="S391" s="15" t="b">
        <v>0</v>
      </c>
      <c r="T391" s="15" t="b">
        <v>0</v>
      </c>
      <c r="U391" s="47"/>
      <c r="V391" s="47"/>
      <c r="W391" s="47"/>
    </row>
    <row r="392" ht="17.25" customHeight="1">
      <c r="A392" s="47" t="s">
        <v>648</v>
      </c>
      <c r="B392" s="48" t="s">
        <v>80</v>
      </c>
      <c r="C392" s="47" t="s">
        <v>84</v>
      </c>
      <c r="D392" s="47" t="s">
        <v>85</v>
      </c>
      <c r="E392" s="47" t="s">
        <v>75</v>
      </c>
      <c r="F392" s="47" t="s">
        <v>86</v>
      </c>
      <c r="G392" s="47" t="s">
        <v>15</v>
      </c>
      <c r="H392" s="49" t="b">
        <v>0</v>
      </c>
      <c r="I392" s="49" t="b">
        <v>0</v>
      </c>
      <c r="J392" s="49" t="s">
        <v>242</v>
      </c>
      <c r="K392" s="49" t="b">
        <v>0</v>
      </c>
      <c r="L392" s="49" t="b">
        <v>0</v>
      </c>
      <c r="M392" s="49" t="b">
        <v>0</v>
      </c>
      <c r="N392" s="49" t="b">
        <v>0</v>
      </c>
      <c r="O392" s="49" t="b">
        <v>0</v>
      </c>
      <c r="P392" s="14" t="s">
        <v>23</v>
      </c>
      <c r="Q392" s="49" t="b">
        <v>0</v>
      </c>
      <c r="R392" s="49" t="b">
        <v>0</v>
      </c>
      <c r="S392" s="15" t="b">
        <v>0</v>
      </c>
      <c r="T392" s="15" t="b">
        <v>0</v>
      </c>
      <c r="U392" s="47" t="s">
        <v>215</v>
      </c>
      <c r="V392" s="47"/>
      <c r="W392" s="47" t="s">
        <v>88</v>
      </c>
    </row>
    <row r="393" ht="17.25" customHeight="1">
      <c r="A393" s="47" t="s">
        <v>649</v>
      </c>
      <c r="B393" s="48" t="s">
        <v>103</v>
      </c>
      <c r="C393" s="48" t="s">
        <v>103</v>
      </c>
      <c r="D393" s="47" t="s">
        <v>122</v>
      </c>
      <c r="E393" s="47" t="s">
        <v>82</v>
      </c>
      <c r="F393" s="47" t="s">
        <v>86</v>
      </c>
      <c r="G393" s="47" t="s">
        <v>10</v>
      </c>
      <c r="H393" s="49" t="b">
        <v>0</v>
      </c>
      <c r="I393" s="49" t="b">
        <v>0</v>
      </c>
      <c r="J393" s="49"/>
      <c r="K393" s="49" t="b">
        <v>0</v>
      </c>
      <c r="L393" s="49" t="b">
        <v>0</v>
      </c>
      <c r="M393" s="49" t="b">
        <v>0</v>
      </c>
      <c r="N393" s="49" t="b">
        <v>0</v>
      </c>
      <c r="O393" s="49" t="b">
        <v>0</v>
      </c>
      <c r="P393" s="14" t="s">
        <v>23</v>
      </c>
      <c r="Q393" s="49" t="b">
        <v>1</v>
      </c>
      <c r="R393" s="49" t="b">
        <v>1</v>
      </c>
      <c r="S393" s="15" t="b">
        <v>0</v>
      </c>
      <c r="T393" s="15" t="b">
        <v>0</v>
      </c>
      <c r="V393" s="14" t="s">
        <v>106</v>
      </c>
      <c r="X393" s="47"/>
      <c r="Y393" s="47"/>
      <c r="Z393" s="47"/>
      <c r="AA393" s="47"/>
      <c r="AB393" s="47"/>
      <c r="AC393" s="47"/>
      <c r="AD393" s="47"/>
      <c r="AE393" s="47"/>
      <c r="AF393" s="47"/>
      <c r="AG393" s="47"/>
      <c r="AH393" s="47"/>
      <c r="AI393" s="47"/>
      <c r="AJ393" s="47"/>
      <c r="AK393" s="47"/>
    </row>
    <row r="394" ht="17.25" customHeight="1">
      <c r="A394" s="47" t="s">
        <v>650</v>
      </c>
      <c r="B394" s="48" t="s">
        <v>103</v>
      </c>
      <c r="C394" s="48" t="s">
        <v>103</v>
      </c>
      <c r="D394" s="47" t="s">
        <v>100</v>
      </c>
      <c r="E394" s="47" t="s">
        <v>75</v>
      </c>
      <c r="F394" s="47" t="s">
        <v>76</v>
      </c>
      <c r="G394" s="47" t="s">
        <v>10</v>
      </c>
      <c r="H394" s="49" t="b">
        <v>1</v>
      </c>
      <c r="I394" s="49" t="b">
        <v>0</v>
      </c>
      <c r="J394" s="49"/>
      <c r="K394" s="49" t="b">
        <v>0</v>
      </c>
      <c r="L394" s="49" t="b">
        <v>1</v>
      </c>
      <c r="M394" s="49" t="b">
        <v>1</v>
      </c>
      <c r="N394" s="49" t="b">
        <v>0</v>
      </c>
      <c r="O394" s="49" t="b">
        <v>0</v>
      </c>
      <c r="P394" s="14" t="s">
        <v>78</v>
      </c>
      <c r="Q394" s="49" t="b">
        <v>1</v>
      </c>
      <c r="R394" s="49" t="b">
        <v>1</v>
      </c>
      <c r="S394" s="14" t="b">
        <v>1</v>
      </c>
      <c r="T394" s="15" t="b">
        <v>0</v>
      </c>
    </row>
    <row r="395" ht="17.25" customHeight="1">
      <c r="A395" s="47" t="s">
        <v>651</v>
      </c>
      <c r="B395" s="48" t="s">
        <v>109</v>
      </c>
      <c r="C395" s="47" t="s">
        <v>110</v>
      </c>
      <c r="D395" s="47" t="s">
        <v>100</v>
      </c>
      <c r="E395" s="47" t="s">
        <v>75</v>
      </c>
      <c r="F395" s="47" t="s">
        <v>76</v>
      </c>
      <c r="G395" s="47" t="s">
        <v>8</v>
      </c>
      <c r="H395" s="49" t="b">
        <v>0</v>
      </c>
      <c r="I395" s="49" t="b">
        <v>0</v>
      </c>
      <c r="J395" s="49"/>
      <c r="K395" s="49" t="b">
        <v>1</v>
      </c>
      <c r="L395" s="49" t="b">
        <v>1</v>
      </c>
      <c r="M395" s="49" t="b">
        <v>1</v>
      </c>
      <c r="N395" s="49" t="b">
        <v>1</v>
      </c>
      <c r="O395" s="49" t="b">
        <v>0</v>
      </c>
      <c r="P395" s="14" t="s">
        <v>23</v>
      </c>
      <c r="Q395" s="49" t="b">
        <v>1</v>
      </c>
      <c r="R395" s="49" t="b">
        <v>1</v>
      </c>
      <c r="S395" s="15" t="b">
        <v>0</v>
      </c>
      <c r="T395" s="14" t="b">
        <v>1</v>
      </c>
      <c r="V395" s="14" t="s">
        <v>106</v>
      </c>
    </row>
    <row r="396" ht="17.25" customHeight="1">
      <c r="A396" s="47" t="s">
        <v>652</v>
      </c>
      <c r="B396" s="48" t="s">
        <v>232</v>
      </c>
      <c r="C396" s="47" t="s">
        <v>72</v>
      </c>
      <c r="D396" s="47" t="s">
        <v>74</v>
      </c>
      <c r="E396" s="47" t="s">
        <v>75</v>
      </c>
      <c r="F396" s="47" t="s">
        <v>76</v>
      </c>
      <c r="G396" s="47" t="s">
        <v>8</v>
      </c>
      <c r="H396" s="49" t="b">
        <v>1</v>
      </c>
      <c r="I396" s="49" t="b">
        <v>0</v>
      </c>
      <c r="J396" s="49"/>
      <c r="K396" s="49" t="b">
        <v>1</v>
      </c>
      <c r="L396" s="49" t="b">
        <v>1</v>
      </c>
      <c r="M396" s="49" t="b">
        <v>1</v>
      </c>
      <c r="N396" s="49" t="b">
        <v>1</v>
      </c>
      <c r="O396" s="49" t="b">
        <v>0</v>
      </c>
      <c r="P396" s="14" t="s">
        <v>78</v>
      </c>
      <c r="Q396" s="49" t="b">
        <v>1</v>
      </c>
      <c r="R396" s="49" t="b">
        <v>1</v>
      </c>
      <c r="S396" s="15" t="b">
        <v>0</v>
      </c>
      <c r="T396" s="15" t="b">
        <v>0</v>
      </c>
      <c r="V396" s="14" t="s">
        <v>106</v>
      </c>
    </row>
    <row r="397" ht="17.25" customHeight="1">
      <c r="A397" s="78" t="s">
        <v>653</v>
      </c>
      <c r="B397" s="48" t="s">
        <v>72</v>
      </c>
      <c r="C397" s="48" t="s">
        <v>72</v>
      </c>
      <c r="D397" s="47" t="s">
        <v>74</v>
      </c>
      <c r="E397" s="47" t="s">
        <v>96</v>
      </c>
      <c r="F397" s="47" t="s">
        <v>76</v>
      </c>
      <c r="G397" s="47" t="s">
        <v>338</v>
      </c>
      <c r="H397" s="49" t="b">
        <v>0</v>
      </c>
      <c r="I397" s="49" t="b">
        <v>1</v>
      </c>
      <c r="J397" s="49"/>
      <c r="K397" s="49" t="b">
        <v>0</v>
      </c>
      <c r="L397" s="49" t="b">
        <v>0</v>
      </c>
      <c r="M397" s="49" t="b">
        <v>1</v>
      </c>
      <c r="N397" s="49" t="b">
        <v>0</v>
      </c>
      <c r="O397" s="49" t="b">
        <v>1</v>
      </c>
      <c r="P397" s="14" t="s">
        <v>138</v>
      </c>
      <c r="Q397" s="49" t="b">
        <v>0</v>
      </c>
      <c r="R397" s="49" t="b">
        <v>1</v>
      </c>
      <c r="S397" s="15" t="b">
        <v>0</v>
      </c>
      <c r="T397" s="15" t="b">
        <v>0</v>
      </c>
      <c r="W397" s="14" t="s">
        <v>356</v>
      </c>
    </row>
    <row r="398" ht="17.25" customHeight="1">
      <c r="A398" s="14" t="s">
        <v>654</v>
      </c>
      <c r="B398" s="14" t="s">
        <v>117</v>
      </c>
      <c r="C398" s="14" t="s">
        <v>110</v>
      </c>
      <c r="D398" s="47" t="s">
        <v>122</v>
      </c>
      <c r="E398" s="47" t="s">
        <v>75</v>
      </c>
      <c r="F398" s="47" t="s">
        <v>86</v>
      </c>
      <c r="G398" s="47" t="s">
        <v>8</v>
      </c>
      <c r="H398" s="49" t="b">
        <v>0</v>
      </c>
      <c r="I398" s="49" t="b">
        <v>0</v>
      </c>
      <c r="J398" s="49" t="b">
        <v>0</v>
      </c>
      <c r="K398" s="49" t="b">
        <v>0</v>
      </c>
      <c r="L398" s="49" t="b">
        <v>0</v>
      </c>
      <c r="M398" s="49" t="b">
        <v>0</v>
      </c>
      <c r="N398" s="49" t="b">
        <v>0</v>
      </c>
      <c r="O398" s="49" t="b">
        <v>0</v>
      </c>
      <c r="P398" s="14" t="s">
        <v>87</v>
      </c>
      <c r="Q398" s="49" t="b">
        <v>0</v>
      </c>
      <c r="R398" s="1"/>
      <c r="V398" s="14"/>
    </row>
    <row r="399" ht="17.25" customHeight="1">
      <c r="A399" s="47" t="s">
        <v>655</v>
      </c>
      <c r="B399" s="48" t="s">
        <v>80</v>
      </c>
      <c r="C399" s="48" t="s">
        <v>84</v>
      </c>
      <c r="D399" s="47" t="s">
        <v>74</v>
      </c>
      <c r="E399" s="47" t="s">
        <v>101</v>
      </c>
      <c r="F399" s="47" t="s">
        <v>76</v>
      </c>
      <c r="G399" s="47" t="s">
        <v>15</v>
      </c>
      <c r="H399" s="49" t="b">
        <v>0</v>
      </c>
      <c r="I399" s="49" t="b">
        <v>0</v>
      </c>
      <c r="J399" s="49" t="s">
        <v>214</v>
      </c>
      <c r="K399" s="49" t="b">
        <v>0</v>
      </c>
      <c r="L399" s="49" t="b">
        <v>0</v>
      </c>
      <c r="M399" s="49" t="b">
        <v>0</v>
      </c>
      <c r="N399" s="49" t="b">
        <v>0</v>
      </c>
      <c r="O399" s="49" t="b">
        <v>0</v>
      </c>
      <c r="P399" s="14" t="s">
        <v>113</v>
      </c>
      <c r="Q399" s="49" t="b">
        <v>0</v>
      </c>
      <c r="R399" s="49" t="b">
        <v>0</v>
      </c>
      <c r="S399" s="15" t="b">
        <v>0</v>
      </c>
      <c r="T399" s="15" t="b">
        <v>0</v>
      </c>
      <c r="U399" s="47" t="s">
        <v>194</v>
      </c>
      <c r="V399" s="47"/>
      <c r="W399" s="47" t="s">
        <v>656</v>
      </c>
    </row>
    <row r="400" ht="17.25" customHeight="1">
      <c r="A400" s="47" t="s">
        <v>657</v>
      </c>
      <c r="B400" s="48" t="s">
        <v>80</v>
      </c>
      <c r="C400" s="48" t="s">
        <v>84</v>
      </c>
      <c r="D400" s="47" t="s">
        <v>74</v>
      </c>
      <c r="E400" s="47" t="s">
        <v>101</v>
      </c>
      <c r="F400" s="47" t="s">
        <v>76</v>
      </c>
      <c r="G400" s="47" t="s">
        <v>15</v>
      </c>
      <c r="H400" s="49" t="b">
        <v>1</v>
      </c>
      <c r="I400" s="49" t="b">
        <v>0</v>
      </c>
      <c r="J400" s="49" t="s">
        <v>658</v>
      </c>
      <c r="K400" s="49" t="b">
        <v>0</v>
      </c>
      <c r="L400" s="49" t="b">
        <v>0</v>
      </c>
      <c r="M400" s="49" t="b">
        <v>0</v>
      </c>
      <c r="N400" s="49" t="b">
        <v>0</v>
      </c>
      <c r="O400" s="49" t="b">
        <v>0</v>
      </c>
      <c r="P400" s="14" t="s">
        <v>113</v>
      </c>
      <c r="Q400" s="49" t="b">
        <v>0</v>
      </c>
      <c r="R400" s="49" t="b">
        <v>0</v>
      </c>
      <c r="S400" s="15" t="b">
        <v>0</v>
      </c>
      <c r="T400" s="15" t="b">
        <v>0</v>
      </c>
      <c r="U400" s="47" t="s">
        <v>215</v>
      </c>
      <c r="V400" s="47"/>
      <c r="W400" s="47" t="s">
        <v>659</v>
      </c>
    </row>
    <row r="401" ht="17.25" customHeight="1">
      <c r="A401" s="47" t="s">
        <v>660</v>
      </c>
      <c r="B401" s="48" t="s">
        <v>80</v>
      </c>
      <c r="C401" s="47" t="s">
        <v>84</v>
      </c>
      <c r="D401" s="47" t="s">
        <v>74</v>
      </c>
      <c r="E401" s="47" t="s">
        <v>82</v>
      </c>
      <c r="F401" s="47" t="s">
        <v>76</v>
      </c>
      <c r="G401" s="47" t="s">
        <v>15</v>
      </c>
      <c r="H401" s="49" t="b">
        <v>1</v>
      </c>
      <c r="I401" s="49" t="b">
        <v>1</v>
      </c>
      <c r="J401" s="49" t="s">
        <v>214</v>
      </c>
      <c r="K401" s="49" t="b">
        <v>0</v>
      </c>
      <c r="L401" s="49" t="b">
        <v>0</v>
      </c>
      <c r="M401" s="49" t="b">
        <v>0</v>
      </c>
      <c r="N401" s="49" t="b">
        <v>0</v>
      </c>
      <c r="O401" s="49" t="b">
        <v>0</v>
      </c>
      <c r="P401" s="14" t="s">
        <v>113</v>
      </c>
      <c r="Q401" s="49" t="b">
        <v>0</v>
      </c>
      <c r="R401" s="49" t="b">
        <v>0</v>
      </c>
      <c r="S401" s="15" t="b">
        <v>0</v>
      </c>
      <c r="T401" s="15" t="b">
        <v>0</v>
      </c>
      <c r="U401" s="14" t="s">
        <v>194</v>
      </c>
      <c r="W401" s="14" t="s">
        <v>661</v>
      </c>
    </row>
    <row r="402" ht="17.25" customHeight="1">
      <c r="A402" s="83" t="s">
        <v>662</v>
      </c>
      <c r="B402" s="14" t="s">
        <v>307</v>
      </c>
      <c r="C402" s="14" t="s">
        <v>73</v>
      </c>
      <c r="D402" s="47" t="s">
        <v>85</v>
      </c>
      <c r="E402" s="47" t="s">
        <v>82</v>
      </c>
      <c r="F402" s="47" t="s">
        <v>86</v>
      </c>
      <c r="G402" s="47" t="s">
        <v>338</v>
      </c>
      <c r="H402" s="49" t="b">
        <v>0</v>
      </c>
      <c r="I402" s="49" t="b">
        <v>0</v>
      </c>
      <c r="J402" s="49"/>
      <c r="K402" s="49" t="b">
        <v>0</v>
      </c>
      <c r="L402" s="49" t="b">
        <v>0</v>
      </c>
      <c r="M402" s="49" t="b">
        <v>0</v>
      </c>
      <c r="N402" s="49" t="b">
        <v>0</v>
      </c>
      <c r="O402" s="49" t="b">
        <v>0</v>
      </c>
      <c r="P402" s="14" t="s">
        <v>87</v>
      </c>
      <c r="Q402" s="49" t="b">
        <v>0</v>
      </c>
      <c r="R402" s="1"/>
      <c r="V402" s="14" t="s">
        <v>106</v>
      </c>
      <c r="X402" s="47"/>
      <c r="Y402" s="47"/>
      <c r="Z402" s="47"/>
      <c r="AA402" s="47"/>
      <c r="AB402" s="47"/>
      <c r="AC402" s="47"/>
      <c r="AD402" s="47"/>
      <c r="AE402" s="47"/>
      <c r="AF402" s="47"/>
      <c r="AG402" s="47"/>
      <c r="AH402" s="47"/>
      <c r="AI402" s="47"/>
      <c r="AJ402" s="47"/>
      <c r="AK402" s="47"/>
    </row>
    <row r="403" ht="17.25" customHeight="1">
      <c r="A403" s="14" t="s">
        <v>663</v>
      </c>
      <c r="B403" s="48" t="s">
        <v>80</v>
      </c>
      <c r="C403" s="47" t="s">
        <v>84</v>
      </c>
      <c r="D403" s="47" t="s">
        <v>74</v>
      </c>
      <c r="E403" s="47" t="s">
        <v>82</v>
      </c>
      <c r="F403" s="47" t="s">
        <v>86</v>
      </c>
      <c r="G403" s="47" t="s">
        <v>15</v>
      </c>
      <c r="H403" s="49" t="b">
        <v>0</v>
      </c>
      <c r="I403" s="49" t="b">
        <v>1</v>
      </c>
      <c r="J403" s="49" t="s">
        <v>214</v>
      </c>
      <c r="K403" s="49" t="b">
        <v>0</v>
      </c>
      <c r="L403" s="49" t="b">
        <v>0</v>
      </c>
      <c r="M403" s="49" t="b">
        <v>0</v>
      </c>
      <c r="N403" s="49" t="b">
        <v>0</v>
      </c>
      <c r="O403" s="49" t="b">
        <v>0</v>
      </c>
      <c r="P403" s="14" t="s">
        <v>87</v>
      </c>
      <c r="Q403" s="49" t="b">
        <v>0</v>
      </c>
      <c r="R403" s="49" t="b">
        <v>0</v>
      </c>
      <c r="S403" s="14" t="b">
        <v>0</v>
      </c>
      <c r="T403" s="14" t="b">
        <v>0</v>
      </c>
      <c r="U403" s="47" t="s">
        <v>215</v>
      </c>
      <c r="V403" s="47"/>
      <c r="W403" s="47" t="s">
        <v>664</v>
      </c>
      <c r="X403" s="47"/>
      <c r="Y403" s="47"/>
      <c r="Z403" s="47"/>
      <c r="AA403" s="47"/>
      <c r="AB403" s="47"/>
      <c r="AC403" s="47"/>
      <c r="AD403" s="47"/>
      <c r="AE403" s="47"/>
      <c r="AF403" s="47"/>
      <c r="AG403" s="47"/>
      <c r="AH403" s="47"/>
      <c r="AI403" s="47"/>
      <c r="AJ403" s="47"/>
      <c r="AK403" s="47"/>
    </row>
    <row r="404" ht="17.25" customHeight="1">
      <c r="A404" s="47" t="s">
        <v>665</v>
      </c>
      <c r="B404" s="48" t="s">
        <v>80</v>
      </c>
      <c r="C404" s="47" t="s">
        <v>84</v>
      </c>
      <c r="D404" s="47" t="s">
        <v>85</v>
      </c>
      <c r="E404" s="47" t="s">
        <v>82</v>
      </c>
      <c r="F404" s="47" t="s">
        <v>86</v>
      </c>
      <c r="G404" s="47" t="s">
        <v>15</v>
      </c>
      <c r="H404" s="49" t="b">
        <v>0</v>
      </c>
      <c r="I404" s="49" t="b">
        <v>0</v>
      </c>
      <c r="J404" s="49" t="s">
        <v>442</v>
      </c>
      <c r="K404" s="49" t="b">
        <v>0</v>
      </c>
      <c r="L404" s="49" t="b">
        <v>0</v>
      </c>
      <c r="M404" s="49" t="b">
        <v>0</v>
      </c>
      <c r="N404" s="49" t="b">
        <v>0</v>
      </c>
      <c r="O404" s="49" t="b">
        <v>0</v>
      </c>
      <c r="P404" s="14" t="s">
        <v>87</v>
      </c>
      <c r="Q404" s="49" t="b">
        <v>0</v>
      </c>
      <c r="R404" s="49" t="b">
        <v>0</v>
      </c>
      <c r="S404" s="15" t="b">
        <v>0</v>
      </c>
      <c r="T404" s="15" t="b">
        <v>0</v>
      </c>
      <c r="U404" s="14"/>
      <c r="W404" s="14" t="s">
        <v>666</v>
      </c>
    </row>
    <row r="405" ht="17.25" customHeight="1">
      <c r="A405" s="47" t="s">
        <v>667</v>
      </c>
      <c r="B405" s="48" t="s">
        <v>72</v>
      </c>
      <c r="C405" s="47" t="s">
        <v>72</v>
      </c>
      <c r="D405" s="47" t="s">
        <v>74</v>
      </c>
      <c r="E405" s="47" t="s">
        <v>75</v>
      </c>
      <c r="F405" s="47" t="s">
        <v>76</v>
      </c>
      <c r="G405" s="47" t="s">
        <v>15</v>
      </c>
      <c r="H405" s="49" t="b">
        <v>0</v>
      </c>
      <c r="I405" s="49" t="b">
        <v>0</v>
      </c>
      <c r="J405" s="49" t="s">
        <v>214</v>
      </c>
      <c r="K405" s="49" t="b">
        <v>0</v>
      </c>
      <c r="L405" s="49" t="b">
        <v>0</v>
      </c>
      <c r="M405" s="49" t="b">
        <v>0</v>
      </c>
      <c r="N405" s="49" t="b">
        <v>0</v>
      </c>
      <c r="O405" s="49" t="b">
        <v>0</v>
      </c>
      <c r="P405" s="14" t="s">
        <v>87</v>
      </c>
      <c r="Q405" s="49" t="b">
        <v>1</v>
      </c>
      <c r="R405" s="49" t="b">
        <v>1</v>
      </c>
      <c r="S405" s="15" t="b">
        <v>0</v>
      </c>
      <c r="T405" s="15" t="b">
        <v>0</v>
      </c>
      <c r="U405" s="14" t="s">
        <v>215</v>
      </c>
      <c r="W405" s="14" t="s">
        <v>668</v>
      </c>
    </row>
    <row r="406" ht="17.25" customHeight="1">
      <c r="A406" s="47" t="s">
        <v>669</v>
      </c>
      <c r="B406" s="48" t="s">
        <v>670</v>
      </c>
      <c r="C406" s="47" t="s">
        <v>84</v>
      </c>
      <c r="D406" s="47" t="s">
        <v>122</v>
      </c>
      <c r="E406" s="47" t="s">
        <v>82</v>
      </c>
      <c r="F406" s="47" t="s">
        <v>86</v>
      </c>
      <c r="G406" s="47" t="s">
        <v>15</v>
      </c>
      <c r="H406" s="49" t="b">
        <v>1</v>
      </c>
      <c r="I406" s="49" t="b">
        <v>1</v>
      </c>
      <c r="J406" s="49" t="s">
        <v>214</v>
      </c>
      <c r="K406" s="49" t="b">
        <v>0</v>
      </c>
      <c r="L406" s="49" t="b">
        <v>0</v>
      </c>
      <c r="M406" s="49" t="b">
        <v>0</v>
      </c>
      <c r="N406" s="49" t="b">
        <v>0</v>
      </c>
      <c r="O406" s="49" t="b">
        <v>0</v>
      </c>
      <c r="P406" s="14" t="s">
        <v>87</v>
      </c>
      <c r="Q406" s="49" t="b">
        <v>0</v>
      </c>
      <c r="R406" s="49" t="b">
        <v>0</v>
      </c>
      <c r="S406" s="14" t="b">
        <v>0</v>
      </c>
      <c r="T406" s="14" t="b">
        <v>0</v>
      </c>
      <c r="U406" s="47" t="s">
        <v>215</v>
      </c>
      <c r="V406" s="47"/>
      <c r="W406" s="47" t="s">
        <v>671</v>
      </c>
      <c r="X406" s="47"/>
      <c r="Y406" s="47"/>
      <c r="Z406" s="47"/>
      <c r="AA406" s="47"/>
      <c r="AB406" s="47"/>
      <c r="AC406" s="47"/>
      <c r="AD406" s="47"/>
      <c r="AE406" s="47"/>
      <c r="AF406" s="47"/>
      <c r="AG406" s="47"/>
      <c r="AH406" s="47"/>
      <c r="AI406" s="47"/>
      <c r="AJ406" s="47"/>
      <c r="AK406" s="47"/>
    </row>
    <row r="407" ht="17.25" customHeight="1">
      <c r="A407" s="47" t="s">
        <v>672</v>
      </c>
      <c r="B407" s="48" t="s">
        <v>72</v>
      </c>
      <c r="C407" s="47" t="s">
        <v>72</v>
      </c>
      <c r="D407" s="47" t="s">
        <v>74</v>
      </c>
      <c r="E407" s="47" t="s">
        <v>75</v>
      </c>
      <c r="F407" s="47" t="s">
        <v>76</v>
      </c>
      <c r="G407" s="47" t="s">
        <v>15</v>
      </c>
      <c r="H407" s="49" t="b">
        <v>0</v>
      </c>
      <c r="I407" s="49" t="b">
        <v>0</v>
      </c>
      <c r="J407" s="49" t="s">
        <v>214</v>
      </c>
      <c r="K407" s="49" t="b">
        <v>0</v>
      </c>
      <c r="L407" s="49" t="b">
        <v>0</v>
      </c>
      <c r="M407" s="49" t="b">
        <v>0</v>
      </c>
      <c r="N407" s="49" t="b">
        <v>0</v>
      </c>
      <c r="O407" s="49" t="b">
        <v>0</v>
      </c>
      <c r="P407" s="14" t="s">
        <v>87</v>
      </c>
      <c r="Q407" s="49" t="b">
        <v>0</v>
      </c>
      <c r="R407" s="49" t="b">
        <v>1</v>
      </c>
      <c r="S407" s="15" t="b">
        <v>0</v>
      </c>
      <c r="T407" s="15" t="b">
        <v>0</v>
      </c>
      <c r="U407" s="14" t="s">
        <v>215</v>
      </c>
      <c r="W407" s="14" t="s">
        <v>673</v>
      </c>
    </row>
    <row r="408" ht="17.25" customHeight="1">
      <c r="A408" s="47" t="s">
        <v>674</v>
      </c>
      <c r="B408" s="48" t="s">
        <v>103</v>
      </c>
      <c r="C408" s="48" t="s">
        <v>103</v>
      </c>
      <c r="D408" s="47" t="s">
        <v>100</v>
      </c>
      <c r="E408" s="47" t="s">
        <v>101</v>
      </c>
      <c r="F408" s="47" t="s">
        <v>76</v>
      </c>
      <c r="G408" s="47" t="s">
        <v>10</v>
      </c>
      <c r="H408" s="49" t="b">
        <v>0</v>
      </c>
      <c r="I408" s="49" t="b">
        <v>0</v>
      </c>
      <c r="J408" s="49" t="b">
        <v>0</v>
      </c>
      <c r="K408" s="49" t="b">
        <v>1</v>
      </c>
      <c r="L408" s="49" t="b">
        <v>1</v>
      </c>
      <c r="M408" s="49" t="b">
        <v>0</v>
      </c>
      <c r="N408" s="49" t="b">
        <v>0</v>
      </c>
      <c r="O408" s="49" t="b">
        <v>0</v>
      </c>
      <c r="P408" s="14" t="s">
        <v>87</v>
      </c>
      <c r="Q408" s="49" t="b">
        <v>1</v>
      </c>
      <c r="R408" s="49" t="b">
        <v>1</v>
      </c>
      <c r="S408" s="15" t="b">
        <v>0</v>
      </c>
      <c r="T408" s="15" t="b">
        <v>0</v>
      </c>
    </row>
    <row r="409" ht="17.25" customHeight="1">
      <c r="A409" s="47" t="s">
        <v>675</v>
      </c>
      <c r="B409" s="48" t="s">
        <v>80</v>
      </c>
      <c r="C409" s="47" t="s">
        <v>84</v>
      </c>
      <c r="D409" s="47" t="s">
        <v>85</v>
      </c>
      <c r="E409" s="47" t="s">
        <v>101</v>
      </c>
      <c r="F409" s="47" t="s">
        <v>86</v>
      </c>
      <c r="G409" s="47" t="s">
        <v>16</v>
      </c>
      <c r="H409" s="49" t="b">
        <v>0</v>
      </c>
      <c r="I409" s="49" t="b">
        <v>0</v>
      </c>
      <c r="J409" s="49" t="b">
        <v>0</v>
      </c>
      <c r="K409" s="49" t="b">
        <v>0</v>
      </c>
      <c r="L409" s="49" t="b">
        <v>0</v>
      </c>
      <c r="M409" s="49" t="b">
        <v>0</v>
      </c>
      <c r="N409" s="49" t="b">
        <v>0</v>
      </c>
      <c r="O409" s="49" t="b">
        <v>0</v>
      </c>
      <c r="P409" s="14" t="s">
        <v>113</v>
      </c>
      <c r="Q409" s="49" t="b">
        <v>0</v>
      </c>
      <c r="R409" s="49" t="b">
        <v>0</v>
      </c>
      <c r="S409" s="15" t="b">
        <v>0</v>
      </c>
      <c r="T409" s="14" t="b">
        <v>0</v>
      </c>
      <c r="U409" s="47"/>
      <c r="V409" s="47"/>
      <c r="W409" s="47" t="s">
        <v>114</v>
      </c>
    </row>
    <row r="410" ht="17.25" customHeight="1">
      <c r="A410" s="50" t="s">
        <v>676</v>
      </c>
      <c r="B410" s="48" t="s">
        <v>72</v>
      </c>
      <c r="C410" s="48" t="s">
        <v>72</v>
      </c>
      <c r="D410" s="47" t="s">
        <v>174</v>
      </c>
      <c r="E410" s="47" t="s">
        <v>96</v>
      </c>
      <c r="F410" s="47" t="s">
        <v>86</v>
      </c>
      <c r="G410" s="47" t="s">
        <v>16</v>
      </c>
      <c r="H410" s="49" t="b">
        <v>0</v>
      </c>
      <c r="I410" s="49" t="b">
        <v>1</v>
      </c>
      <c r="J410" s="49" t="b">
        <v>0</v>
      </c>
      <c r="K410" s="49" t="b">
        <v>0</v>
      </c>
      <c r="L410" s="49" t="b">
        <v>0</v>
      </c>
      <c r="M410" s="49" t="b">
        <v>0</v>
      </c>
      <c r="N410" s="49" t="b">
        <v>0</v>
      </c>
      <c r="O410" s="49" t="b">
        <v>0</v>
      </c>
      <c r="P410" s="14" t="s">
        <v>134</v>
      </c>
      <c r="Q410" s="49" t="b">
        <v>0</v>
      </c>
      <c r="R410" s="49" t="b">
        <v>0</v>
      </c>
      <c r="S410" s="49"/>
      <c r="T410" s="49"/>
      <c r="U410" s="49"/>
      <c r="V410" s="47"/>
      <c r="W410" s="47" t="s">
        <v>677</v>
      </c>
    </row>
    <row r="411" ht="17.25" customHeight="1">
      <c r="A411" s="47" t="s">
        <v>678</v>
      </c>
      <c r="B411" s="48" t="s">
        <v>288</v>
      </c>
      <c r="C411" s="47" t="s">
        <v>84</v>
      </c>
      <c r="D411" s="47" t="s">
        <v>85</v>
      </c>
      <c r="E411" s="47" t="s">
        <v>101</v>
      </c>
      <c r="F411" s="47" t="s">
        <v>76</v>
      </c>
      <c r="G411" s="47" t="s">
        <v>15</v>
      </c>
      <c r="H411" s="49" t="b">
        <v>0</v>
      </c>
      <c r="I411" s="49" t="b">
        <v>0</v>
      </c>
      <c r="J411" s="49" t="s">
        <v>242</v>
      </c>
      <c r="K411" s="49" t="b">
        <v>0</v>
      </c>
      <c r="L411" s="49" t="b">
        <v>0</v>
      </c>
      <c r="M411" s="49" t="b">
        <v>0</v>
      </c>
      <c r="N411" s="49" t="b">
        <v>0</v>
      </c>
      <c r="O411" s="49" t="b">
        <v>0</v>
      </c>
      <c r="P411" s="14" t="s">
        <v>87</v>
      </c>
      <c r="Q411" s="49" t="b">
        <v>0</v>
      </c>
      <c r="R411" s="49" t="b">
        <v>0</v>
      </c>
      <c r="S411" s="15" t="b">
        <v>0</v>
      </c>
      <c r="T411" s="15" t="b">
        <v>0</v>
      </c>
      <c r="U411" s="47" t="s">
        <v>215</v>
      </c>
      <c r="V411" s="47"/>
      <c r="W411" s="47" t="s">
        <v>311</v>
      </c>
    </row>
    <row r="412" ht="17.25" customHeight="1">
      <c r="A412" s="47" t="s">
        <v>679</v>
      </c>
      <c r="B412" s="48" t="s">
        <v>80</v>
      </c>
      <c r="C412" s="47" t="s">
        <v>73</v>
      </c>
      <c r="D412" s="47" t="s">
        <v>85</v>
      </c>
      <c r="E412" s="47" t="s">
        <v>82</v>
      </c>
      <c r="F412" s="47" t="s">
        <v>86</v>
      </c>
      <c r="G412" s="47" t="s">
        <v>16</v>
      </c>
      <c r="H412" s="49" t="b">
        <v>0</v>
      </c>
      <c r="I412" s="49" t="b">
        <v>0</v>
      </c>
      <c r="J412" s="49"/>
      <c r="K412" s="49" t="b">
        <v>0</v>
      </c>
      <c r="L412" s="49" t="b">
        <v>0</v>
      </c>
      <c r="M412" s="49" t="b">
        <v>0</v>
      </c>
      <c r="N412" s="49" t="b">
        <v>0</v>
      </c>
      <c r="O412" s="49" t="b">
        <v>0</v>
      </c>
      <c r="P412" s="14" t="s">
        <v>87</v>
      </c>
      <c r="Q412" s="49" t="b">
        <v>0</v>
      </c>
      <c r="R412" s="49" t="b">
        <v>0</v>
      </c>
      <c r="S412" s="15" t="b">
        <v>0</v>
      </c>
      <c r="T412" s="15" t="b">
        <v>0</v>
      </c>
    </row>
    <row r="413" ht="17.25" customHeight="1">
      <c r="A413" s="56" t="s">
        <v>680</v>
      </c>
      <c r="B413" s="48" t="s">
        <v>681</v>
      </c>
      <c r="C413" s="47" t="s">
        <v>73</v>
      </c>
      <c r="D413" s="47" t="s">
        <v>85</v>
      </c>
      <c r="E413" s="47" t="s">
        <v>82</v>
      </c>
      <c r="F413" s="47" t="s">
        <v>86</v>
      </c>
      <c r="G413" s="47" t="s">
        <v>16</v>
      </c>
      <c r="H413" s="49" t="b">
        <v>0</v>
      </c>
      <c r="I413" s="49" t="b">
        <v>0</v>
      </c>
      <c r="J413" s="49"/>
      <c r="K413" s="49" t="b">
        <v>0</v>
      </c>
      <c r="L413" s="49" t="b">
        <v>0</v>
      </c>
      <c r="M413" s="49" t="b">
        <v>0</v>
      </c>
      <c r="N413" s="49" t="b">
        <v>0</v>
      </c>
      <c r="O413" s="49" t="b">
        <v>0</v>
      </c>
      <c r="P413" s="14" t="s">
        <v>87</v>
      </c>
      <c r="Q413" s="49" t="b">
        <v>0</v>
      </c>
      <c r="R413" s="49" t="b">
        <v>0</v>
      </c>
      <c r="S413" s="15" t="b">
        <v>0</v>
      </c>
      <c r="T413" s="15" t="b">
        <v>0</v>
      </c>
      <c r="U413" s="47"/>
      <c r="V413" s="47"/>
      <c r="W413" s="47"/>
    </row>
    <row r="414" ht="17.25" customHeight="1">
      <c r="A414" s="14" t="s">
        <v>682</v>
      </c>
      <c r="B414" s="14" t="s">
        <v>345</v>
      </c>
      <c r="C414" s="47" t="s">
        <v>95</v>
      </c>
      <c r="D414" s="47" t="s">
        <v>85</v>
      </c>
      <c r="E414" s="47" t="s">
        <v>82</v>
      </c>
      <c r="F414" s="47" t="s">
        <v>86</v>
      </c>
      <c r="G414" s="47" t="s">
        <v>10</v>
      </c>
      <c r="H414" s="49" t="b">
        <v>1</v>
      </c>
      <c r="I414" s="49" t="b">
        <v>0</v>
      </c>
      <c r="J414" s="49"/>
      <c r="K414" s="49" t="b">
        <v>0</v>
      </c>
      <c r="L414" s="49" t="b">
        <v>0</v>
      </c>
      <c r="M414" s="49" t="b">
        <v>0</v>
      </c>
      <c r="N414" s="49" t="b">
        <v>0</v>
      </c>
      <c r="O414" s="49" t="b">
        <v>0</v>
      </c>
      <c r="P414" s="14" t="s">
        <v>113</v>
      </c>
      <c r="Q414" s="49" t="b">
        <v>1</v>
      </c>
      <c r="R414" s="49" t="b">
        <v>1</v>
      </c>
      <c r="S414" s="15" t="b">
        <v>0</v>
      </c>
      <c r="T414" s="14" t="b">
        <v>0</v>
      </c>
      <c r="V414" s="14" t="s">
        <v>106</v>
      </c>
    </row>
    <row r="415" ht="17.25" customHeight="1">
      <c r="A415" s="47" t="s">
        <v>683</v>
      </c>
      <c r="B415" s="48" t="s">
        <v>99</v>
      </c>
      <c r="C415" s="47" t="s">
        <v>95</v>
      </c>
      <c r="D415" s="47" t="s">
        <v>74</v>
      </c>
      <c r="E415" s="47" t="s">
        <v>101</v>
      </c>
      <c r="F415" s="47" t="s">
        <v>76</v>
      </c>
      <c r="G415" s="47" t="s">
        <v>11</v>
      </c>
      <c r="H415" s="49" t="b">
        <v>0</v>
      </c>
      <c r="I415" s="49" t="b">
        <v>0</v>
      </c>
      <c r="J415" s="49"/>
      <c r="K415" s="49" t="b">
        <v>0</v>
      </c>
      <c r="L415" s="49" t="b">
        <v>0</v>
      </c>
      <c r="M415" s="49" t="b">
        <v>1</v>
      </c>
      <c r="N415" s="49" t="b">
        <v>0</v>
      </c>
      <c r="O415" s="49" t="b">
        <v>1</v>
      </c>
      <c r="P415" s="14" t="s">
        <v>23</v>
      </c>
      <c r="Q415" s="49" t="b">
        <v>1</v>
      </c>
      <c r="R415" s="49" t="b">
        <v>1</v>
      </c>
      <c r="S415" s="15" t="b">
        <v>0</v>
      </c>
      <c r="T415" s="15" t="b">
        <v>0</v>
      </c>
    </row>
    <row r="416" ht="17.25" customHeight="1">
      <c r="A416" s="47" t="s">
        <v>684</v>
      </c>
      <c r="B416" s="48" t="s">
        <v>103</v>
      </c>
      <c r="C416" s="48" t="s">
        <v>103</v>
      </c>
      <c r="D416" s="47" t="s">
        <v>74</v>
      </c>
      <c r="E416" s="47" t="s">
        <v>82</v>
      </c>
      <c r="F416" s="47" t="s">
        <v>76</v>
      </c>
      <c r="G416" s="47" t="s">
        <v>10</v>
      </c>
      <c r="H416" s="49" t="b">
        <v>0</v>
      </c>
      <c r="I416" s="49" t="b">
        <v>0</v>
      </c>
      <c r="J416" s="49"/>
      <c r="K416" s="49" t="b">
        <v>0</v>
      </c>
      <c r="L416" s="49" t="b">
        <v>0</v>
      </c>
      <c r="M416" s="49" t="b">
        <v>1</v>
      </c>
      <c r="N416" s="49" t="b">
        <v>0</v>
      </c>
      <c r="O416" s="49" t="b">
        <v>1</v>
      </c>
      <c r="P416" s="14" t="s">
        <v>23</v>
      </c>
      <c r="Q416" s="49" t="b">
        <v>1</v>
      </c>
      <c r="R416" s="49" t="b">
        <v>1</v>
      </c>
      <c r="S416" s="15" t="b">
        <v>0</v>
      </c>
      <c r="T416" s="15" t="b">
        <v>0</v>
      </c>
      <c r="X416" s="47"/>
      <c r="Y416" s="47"/>
      <c r="Z416" s="47"/>
      <c r="AA416" s="47"/>
      <c r="AB416" s="47"/>
      <c r="AC416" s="47"/>
      <c r="AD416" s="47"/>
      <c r="AE416" s="47"/>
      <c r="AF416" s="47"/>
      <c r="AG416" s="47"/>
      <c r="AH416" s="47"/>
      <c r="AI416" s="47"/>
      <c r="AJ416" s="47"/>
      <c r="AK416" s="47"/>
    </row>
    <row r="417" ht="17.25" customHeight="1">
      <c r="A417" s="47" t="s">
        <v>685</v>
      </c>
      <c r="B417" s="48" t="s">
        <v>145</v>
      </c>
      <c r="C417" s="47" t="s">
        <v>95</v>
      </c>
      <c r="D417" s="47" t="s">
        <v>100</v>
      </c>
      <c r="E417" s="47" t="s">
        <v>75</v>
      </c>
      <c r="F417" s="47" t="s">
        <v>76</v>
      </c>
      <c r="G417" s="47" t="s">
        <v>11</v>
      </c>
      <c r="H417" s="49" t="b">
        <v>1</v>
      </c>
      <c r="I417" s="49" t="b">
        <v>1</v>
      </c>
      <c r="J417" s="49"/>
      <c r="K417" s="49" t="b">
        <v>1</v>
      </c>
      <c r="L417" s="14" t="b">
        <v>1</v>
      </c>
      <c r="M417" s="15" t="b">
        <v>0</v>
      </c>
      <c r="N417" s="15" t="b">
        <v>0</v>
      </c>
      <c r="O417" s="15" t="b">
        <v>0</v>
      </c>
      <c r="P417" s="14" t="s">
        <v>113</v>
      </c>
      <c r="Q417" s="49" t="b">
        <v>1</v>
      </c>
      <c r="R417" s="49" t="b">
        <v>1</v>
      </c>
      <c r="S417" s="15" t="b">
        <v>0</v>
      </c>
      <c r="T417" s="15" t="b">
        <v>0</v>
      </c>
      <c r="X417" s="47"/>
      <c r="Y417" s="47"/>
      <c r="Z417" s="47"/>
      <c r="AA417" s="47"/>
      <c r="AB417" s="47"/>
      <c r="AC417" s="47"/>
      <c r="AD417" s="47"/>
      <c r="AE417" s="47"/>
      <c r="AF417" s="47"/>
      <c r="AG417" s="47"/>
      <c r="AH417" s="47"/>
      <c r="AI417" s="47"/>
      <c r="AJ417" s="47"/>
      <c r="AK417" s="47"/>
    </row>
    <row r="418" ht="17.25" customHeight="1">
      <c r="A418" s="47" t="s">
        <v>686</v>
      </c>
      <c r="B418" s="48" t="s">
        <v>103</v>
      </c>
      <c r="C418" s="48" t="s">
        <v>103</v>
      </c>
      <c r="D418" s="47" t="s">
        <v>100</v>
      </c>
      <c r="E418" s="47" t="s">
        <v>82</v>
      </c>
      <c r="F418" s="47" t="s">
        <v>76</v>
      </c>
      <c r="G418" s="47" t="s">
        <v>10</v>
      </c>
      <c r="H418" s="49" t="b">
        <v>0</v>
      </c>
      <c r="I418" s="49" t="b">
        <v>0</v>
      </c>
      <c r="J418" s="49"/>
      <c r="K418" s="49" t="b">
        <v>1</v>
      </c>
      <c r="L418" s="49" t="b">
        <v>1</v>
      </c>
      <c r="M418" s="49" t="b">
        <v>1</v>
      </c>
      <c r="N418" s="49" t="b">
        <v>1</v>
      </c>
      <c r="O418" s="49" t="b">
        <v>0</v>
      </c>
      <c r="P418" s="14" t="s">
        <v>23</v>
      </c>
      <c r="Q418" s="49" t="b">
        <v>1</v>
      </c>
      <c r="R418" s="49" t="b">
        <v>1</v>
      </c>
      <c r="S418" s="15" t="b">
        <v>0</v>
      </c>
      <c r="T418" s="14" t="b">
        <v>1</v>
      </c>
      <c r="V418" s="14" t="s">
        <v>106</v>
      </c>
      <c r="X418" s="47"/>
      <c r="Y418" s="47"/>
      <c r="Z418" s="47"/>
      <c r="AA418" s="47"/>
      <c r="AB418" s="47"/>
      <c r="AC418" s="47"/>
      <c r="AD418" s="47"/>
      <c r="AE418" s="47"/>
      <c r="AF418" s="47"/>
      <c r="AG418" s="47"/>
      <c r="AH418" s="47"/>
      <c r="AI418" s="47"/>
      <c r="AJ418" s="47"/>
      <c r="AK418" s="47"/>
    </row>
    <row r="419" ht="17.25" customHeight="1">
      <c r="A419" s="58" t="s">
        <v>687</v>
      </c>
      <c r="B419" s="48" t="s">
        <v>80</v>
      </c>
      <c r="C419" s="47" t="s">
        <v>95</v>
      </c>
      <c r="D419" s="47" t="s">
        <v>74</v>
      </c>
      <c r="E419" s="47" t="s">
        <v>96</v>
      </c>
      <c r="F419" s="47" t="s">
        <v>76</v>
      </c>
      <c r="G419" s="47" t="s">
        <v>11</v>
      </c>
      <c r="H419" s="49" t="b">
        <v>0</v>
      </c>
      <c r="I419" s="49" t="b">
        <v>0</v>
      </c>
      <c r="J419" s="49" t="b">
        <v>0</v>
      </c>
      <c r="K419" s="49" t="b">
        <v>0</v>
      </c>
      <c r="L419" s="49" t="b">
        <v>0</v>
      </c>
      <c r="M419" s="49" t="b">
        <v>1</v>
      </c>
      <c r="N419" s="49" t="b">
        <v>0</v>
      </c>
      <c r="O419" s="49" t="b">
        <v>1</v>
      </c>
      <c r="P419" s="14" t="s">
        <v>134</v>
      </c>
      <c r="Q419" s="49" t="b">
        <v>0</v>
      </c>
      <c r="R419" s="49" t="b">
        <v>1</v>
      </c>
      <c r="S419" s="15" t="b">
        <v>0</v>
      </c>
      <c r="T419" s="15" t="b">
        <v>0</v>
      </c>
      <c r="V419" s="14" t="s">
        <v>106</v>
      </c>
      <c r="X419" s="47"/>
      <c r="Y419" s="47"/>
      <c r="Z419" s="47"/>
      <c r="AA419" s="47"/>
      <c r="AB419" s="47"/>
      <c r="AC419" s="47"/>
      <c r="AD419" s="47"/>
      <c r="AE419" s="47"/>
      <c r="AF419" s="47"/>
      <c r="AG419" s="47"/>
      <c r="AH419" s="47"/>
      <c r="AI419" s="47"/>
      <c r="AJ419" s="47"/>
      <c r="AK419" s="47"/>
    </row>
    <row r="420" ht="17.25" customHeight="1">
      <c r="A420" s="47" t="s">
        <v>688</v>
      </c>
      <c r="B420" s="48" t="s">
        <v>80</v>
      </c>
      <c r="C420" s="47" t="s">
        <v>73</v>
      </c>
      <c r="D420" s="47" t="s">
        <v>74</v>
      </c>
      <c r="E420" s="47" t="s">
        <v>82</v>
      </c>
      <c r="F420" s="47" t="s">
        <v>86</v>
      </c>
      <c r="G420" s="47" t="s">
        <v>16</v>
      </c>
      <c r="H420" s="49" t="b">
        <v>0</v>
      </c>
      <c r="I420" s="49" t="b">
        <v>0</v>
      </c>
      <c r="J420" s="49"/>
      <c r="K420" s="49" t="b">
        <v>0</v>
      </c>
      <c r="L420" s="49" t="b">
        <v>0</v>
      </c>
      <c r="M420" s="49" t="b">
        <v>0</v>
      </c>
      <c r="N420" s="49" t="b">
        <v>0</v>
      </c>
      <c r="O420" s="49" t="b">
        <v>0</v>
      </c>
      <c r="P420" s="14" t="s">
        <v>113</v>
      </c>
      <c r="Q420" s="49" t="b">
        <v>0</v>
      </c>
      <c r="R420" s="49" t="b">
        <v>0</v>
      </c>
      <c r="S420" s="15" t="b">
        <v>0</v>
      </c>
      <c r="T420" s="15" t="b">
        <v>0</v>
      </c>
      <c r="U420" s="47"/>
      <c r="V420" s="47"/>
      <c r="W420" s="47"/>
      <c r="X420" s="47"/>
      <c r="Y420" s="47"/>
      <c r="Z420" s="47"/>
      <c r="AA420" s="47"/>
      <c r="AB420" s="47"/>
      <c r="AC420" s="47"/>
      <c r="AD420" s="47"/>
      <c r="AE420" s="47"/>
      <c r="AF420" s="47"/>
      <c r="AG420" s="47"/>
      <c r="AH420" s="47"/>
      <c r="AI420" s="47"/>
      <c r="AJ420" s="47"/>
      <c r="AK420" s="47"/>
    </row>
    <row r="421" ht="17.25" customHeight="1">
      <c r="A421" s="47" t="s">
        <v>689</v>
      </c>
      <c r="B421" s="48" t="s">
        <v>80</v>
      </c>
      <c r="C421" s="47" t="s">
        <v>84</v>
      </c>
      <c r="D421" s="47" t="s">
        <v>85</v>
      </c>
      <c r="E421" s="47" t="s">
        <v>101</v>
      </c>
      <c r="F421" s="47" t="s">
        <v>86</v>
      </c>
      <c r="G421" s="47" t="s">
        <v>16</v>
      </c>
      <c r="H421" s="49" t="b">
        <v>0</v>
      </c>
      <c r="I421" s="49" t="b">
        <v>0</v>
      </c>
      <c r="J421" s="49" t="b">
        <v>0</v>
      </c>
      <c r="K421" s="49" t="b">
        <v>0</v>
      </c>
      <c r="L421" s="49" t="b">
        <v>0</v>
      </c>
      <c r="M421" s="49" t="b">
        <v>0</v>
      </c>
      <c r="N421" s="49" t="b">
        <v>0</v>
      </c>
      <c r="O421" s="49" t="b">
        <v>0</v>
      </c>
      <c r="P421" s="14" t="s">
        <v>113</v>
      </c>
      <c r="Q421" s="49" t="b">
        <v>0</v>
      </c>
      <c r="R421" s="49" t="b">
        <v>0</v>
      </c>
      <c r="S421" s="15" t="b">
        <v>0</v>
      </c>
      <c r="T421" s="14" t="b">
        <v>0</v>
      </c>
      <c r="U421" s="47"/>
      <c r="V421" s="47"/>
      <c r="W421" s="47" t="s">
        <v>114</v>
      </c>
      <c r="X421" s="47"/>
      <c r="Y421" s="47"/>
      <c r="Z421" s="47"/>
      <c r="AA421" s="47"/>
      <c r="AB421" s="47"/>
      <c r="AC421" s="47"/>
      <c r="AD421" s="47"/>
      <c r="AE421" s="47"/>
      <c r="AF421" s="47"/>
      <c r="AG421" s="47"/>
      <c r="AH421" s="47"/>
      <c r="AI421" s="47"/>
      <c r="AJ421" s="47"/>
      <c r="AK421" s="47"/>
    </row>
    <row r="422" ht="17.25" customHeight="1">
      <c r="A422" s="47" t="s">
        <v>690</v>
      </c>
      <c r="B422" s="48" t="s">
        <v>72</v>
      </c>
      <c r="C422" s="47" t="s">
        <v>95</v>
      </c>
      <c r="D422" s="48" t="s">
        <v>205</v>
      </c>
      <c r="E422" s="47" t="s">
        <v>96</v>
      </c>
      <c r="F422" s="51" t="s">
        <v>86</v>
      </c>
      <c r="G422" s="48" t="s">
        <v>11</v>
      </c>
      <c r="H422" s="49" t="b">
        <v>0</v>
      </c>
      <c r="I422" s="52" t="b">
        <v>0</v>
      </c>
      <c r="J422" s="52" t="b">
        <v>0</v>
      </c>
      <c r="K422" s="52" t="b">
        <v>0</v>
      </c>
      <c r="L422" s="52" t="b">
        <v>0</v>
      </c>
      <c r="M422" s="52" t="b">
        <v>0</v>
      </c>
      <c r="N422" s="52" t="b">
        <v>0</v>
      </c>
      <c r="O422" s="52" t="b">
        <v>0</v>
      </c>
      <c r="P422" s="48" t="s">
        <v>134</v>
      </c>
      <c r="Q422" s="52" t="b">
        <v>0</v>
      </c>
      <c r="R422" s="52" t="b">
        <v>0</v>
      </c>
      <c r="S422" s="52" t="b">
        <v>0</v>
      </c>
      <c r="T422" s="52" t="b">
        <v>0</v>
      </c>
      <c r="V422" s="47"/>
      <c r="W422" s="47" t="s">
        <v>691</v>
      </c>
      <c r="X422" s="47"/>
      <c r="Y422" s="47"/>
      <c r="Z422" s="47"/>
      <c r="AA422" s="47"/>
      <c r="AB422" s="47"/>
      <c r="AC422" s="47"/>
      <c r="AD422" s="47"/>
      <c r="AE422" s="47"/>
      <c r="AF422" s="47"/>
      <c r="AG422" s="47"/>
      <c r="AH422" s="47"/>
      <c r="AI422" s="47"/>
      <c r="AJ422" s="47"/>
      <c r="AK422" s="47"/>
    </row>
    <row r="423" ht="17.25" customHeight="1">
      <c r="A423" s="47" t="s">
        <v>692</v>
      </c>
      <c r="B423" s="48" t="s">
        <v>80</v>
      </c>
      <c r="C423" s="48" t="s">
        <v>84</v>
      </c>
      <c r="D423" s="47" t="s">
        <v>122</v>
      </c>
      <c r="E423" s="47" t="s">
        <v>75</v>
      </c>
      <c r="F423" s="47" t="s">
        <v>86</v>
      </c>
      <c r="G423" s="47" t="s">
        <v>16</v>
      </c>
      <c r="H423" s="49" t="b">
        <v>0</v>
      </c>
      <c r="I423" s="49" t="b">
        <v>1</v>
      </c>
      <c r="J423" s="49" t="b">
        <v>0</v>
      </c>
      <c r="K423" s="49" t="b">
        <v>0</v>
      </c>
      <c r="L423" s="49" t="b">
        <v>0</v>
      </c>
      <c r="M423" s="49" t="b">
        <v>0</v>
      </c>
      <c r="N423" s="49" t="b">
        <v>0</v>
      </c>
      <c r="O423" s="49" t="b">
        <v>0</v>
      </c>
      <c r="P423" s="14" t="s">
        <v>87</v>
      </c>
      <c r="Q423" s="49" t="b">
        <v>0</v>
      </c>
      <c r="R423" s="49" t="b">
        <v>1</v>
      </c>
      <c r="S423" s="15" t="b">
        <v>0</v>
      </c>
      <c r="T423" s="15" t="b">
        <v>0</v>
      </c>
      <c r="X423" s="47"/>
      <c r="Y423" s="47"/>
      <c r="Z423" s="47"/>
      <c r="AA423" s="47"/>
      <c r="AB423" s="47"/>
      <c r="AC423" s="47"/>
      <c r="AD423" s="47"/>
      <c r="AE423" s="47"/>
      <c r="AF423" s="47"/>
      <c r="AG423" s="47"/>
      <c r="AH423" s="47"/>
      <c r="AI423" s="47"/>
      <c r="AJ423" s="47"/>
      <c r="AK423" s="47"/>
    </row>
    <row r="424" ht="17.25" customHeight="1">
      <c r="A424" s="47" t="s">
        <v>693</v>
      </c>
      <c r="B424" s="48" t="s">
        <v>80</v>
      </c>
      <c r="C424" s="47" t="s">
        <v>73</v>
      </c>
      <c r="D424" s="47" t="s">
        <v>122</v>
      </c>
      <c r="E424" s="47" t="s">
        <v>91</v>
      </c>
      <c r="F424" s="47" t="s">
        <v>86</v>
      </c>
      <c r="G424" s="47" t="s">
        <v>131</v>
      </c>
      <c r="H424" s="49" t="b">
        <v>0</v>
      </c>
      <c r="I424" s="49" t="b">
        <v>0</v>
      </c>
      <c r="J424" s="49"/>
      <c r="K424" s="49" t="b">
        <v>0</v>
      </c>
      <c r="L424" s="49" t="b">
        <v>0</v>
      </c>
      <c r="M424" s="49" t="b">
        <v>0</v>
      </c>
      <c r="N424" s="49" t="b">
        <v>0</v>
      </c>
      <c r="O424" s="49" t="b">
        <v>0</v>
      </c>
      <c r="P424" s="14" t="s">
        <v>87</v>
      </c>
      <c r="Q424" s="49" t="b">
        <v>0</v>
      </c>
      <c r="R424" s="49" t="b">
        <v>0</v>
      </c>
      <c r="S424" s="15" t="b">
        <v>0</v>
      </c>
      <c r="T424" s="15" t="b">
        <v>0</v>
      </c>
      <c r="U424" s="47"/>
      <c r="V424" s="47"/>
      <c r="W424" s="47"/>
      <c r="X424" s="47"/>
      <c r="Y424" s="47"/>
      <c r="Z424" s="47"/>
      <c r="AA424" s="47"/>
      <c r="AB424" s="47"/>
      <c r="AC424" s="47"/>
      <c r="AD424" s="47"/>
      <c r="AE424" s="47"/>
      <c r="AF424" s="47"/>
      <c r="AG424" s="47"/>
      <c r="AH424" s="47"/>
      <c r="AI424" s="47"/>
      <c r="AJ424" s="47"/>
      <c r="AK424" s="47"/>
    </row>
    <row r="425" ht="17.25" customHeight="1">
      <c r="A425" s="58" t="s">
        <v>694</v>
      </c>
      <c r="B425" s="48" t="s">
        <v>80</v>
      </c>
      <c r="C425" s="47" t="s">
        <v>84</v>
      </c>
      <c r="D425" s="47" t="s">
        <v>85</v>
      </c>
      <c r="E425" s="47" t="s">
        <v>101</v>
      </c>
      <c r="F425" s="47" t="s">
        <v>86</v>
      </c>
      <c r="G425" s="47" t="s">
        <v>16</v>
      </c>
      <c r="H425" s="49" t="b">
        <v>0</v>
      </c>
      <c r="I425" s="49" t="b">
        <v>0</v>
      </c>
      <c r="J425" s="49" t="b">
        <v>0</v>
      </c>
      <c r="K425" s="49" t="b">
        <v>0</v>
      </c>
      <c r="L425" s="49" t="b">
        <v>0</v>
      </c>
      <c r="M425" s="49" t="b">
        <v>0</v>
      </c>
      <c r="N425" s="49" t="b">
        <v>0</v>
      </c>
      <c r="O425" s="49" t="b">
        <v>0</v>
      </c>
      <c r="P425" s="14" t="s">
        <v>87</v>
      </c>
      <c r="Q425" s="49" t="b">
        <v>1</v>
      </c>
      <c r="R425" s="49" t="b">
        <v>1</v>
      </c>
      <c r="S425" s="15" t="b">
        <v>0</v>
      </c>
      <c r="T425" s="15" t="b">
        <v>0</v>
      </c>
      <c r="V425" s="14" t="s">
        <v>106</v>
      </c>
      <c r="X425" s="47"/>
      <c r="Y425" s="47"/>
      <c r="Z425" s="47"/>
      <c r="AA425" s="47"/>
      <c r="AB425" s="47"/>
      <c r="AC425" s="47"/>
      <c r="AD425" s="47"/>
      <c r="AE425" s="47"/>
      <c r="AF425" s="47"/>
      <c r="AG425" s="47"/>
      <c r="AH425" s="47"/>
      <c r="AI425" s="47"/>
      <c r="AJ425" s="47"/>
      <c r="AK425" s="47"/>
    </row>
    <row r="426" ht="17.25" customHeight="1">
      <c r="A426" s="47" t="s">
        <v>695</v>
      </c>
      <c r="B426" s="48" t="s">
        <v>103</v>
      </c>
      <c r="C426" s="48" t="s">
        <v>103</v>
      </c>
      <c r="D426" s="47" t="s">
        <v>74</v>
      </c>
      <c r="E426" s="47" t="s">
        <v>91</v>
      </c>
      <c r="F426" s="47" t="s">
        <v>76</v>
      </c>
      <c r="G426" s="47" t="s">
        <v>10</v>
      </c>
      <c r="H426" s="49" t="b">
        <v>0</v>
      </c>
      <c r="I426" s="49" t="b">
        <v>0</v>
      </c>
      <c r="J426" s="49" t="b">
        <v>0</v>
      </c>
      <c r="K426" s="49" t="b">
        <v>0</v>
      </c>
      <c r="L426" s="49" t="b">
        <v>0</v>
      </c>
      <c r="M426" s="49" t="b">
        <v>1</v>
      </c>
      <c r="N426" s="49" t="b">
        <v>0</v>
      </c>
      <c r="O426" s="49" t="b">
        <v>0</v>
      </c>
      <c r="P426" s="14" t="s">
        <v>134</v>
      </c>
      <c r="Q426" s="49" t="b">
        <v>1</v>
      </c>
      <c r="R426" s="49" t="b">
        <v>1</v>
      </c>
      <c r="S426" s="15" t="b">
        <v>0</v>
      </c>
      <c r="T426" s="15" t="b">
        <v>0</v>
      </c>
      <c r="X426" s="47"/>
      <c r="Y426" s="47"/>
      <c r="Z426" s="47"/>
      <c r="AA426" s="47"/>
      <c r="AB426" s="47"/>
      <c r="AC426" s="47"/>
      <c r="AD426" s="47"/>
      <c r="AE426" s="47"/>
      <c r="AF426" s="47"/>
      <c r="AG426" s="47"/>
      <c r="AH426" s="47"/>
      <c r="AI426" s="47"/>
      <c r="AJ426" s="47"/>
      <c r="AK426" s="47"/>
    </row>
    <row r="427" ht="17.25" customHeight="1">
      <c r="A427" s="47" t="s">
        <v>696</v>
      </c>
      <c r="B427" s="48" t="s">
        <v>80</v>
      </c>
      <c r="C427" s="47" t="s">
        <v>84</v>
      </c>
      <c r="D427" s="47" t="s">
        <v>85</v>
      </c>
      <c r="E427" s="47" t="s">
        <v>75</v>
      </c>
      <c r="F427" s="47" t="s">
        <v>86</v>
      </c>
      <c r="G427" s="47" t="s">
        <v>16</v>
      </c>
      <c r="H427" s="49" t="b">
        <v>0</v>
      </c>
      <c r="I427" s="49" t="b">
        <v>0</v>
      </c>
      <c r="J427" s="49" t="b">
        <v>0</v>
      </c>
      <c r="K427" s="49" t="b">
        <v>0</v>
      </c>
      <c r="L427" s="49" t="b">
        <v>0</v>
      </c>
      <c r="M427" s="49" t="b">
        <v>0</v>
      </c>
      <c r="N427" s="49" t="b">
        <v>0</v>
      </c>
      <c r="O427" s="49" t="b">
        <v>0</v>
      </c>
      <c r="P427" s="14" t="s">
        <v>87</v>
      </c>
      <c r="Q427" s="49" t="b">
        <v>0</v>
      </c>
      <c r="R427" s="49" t="b">
        <v>0</v>
      </c>
      <c r="S427" s="15" t="b">
        <v>0</v>
      </c>
      <c r="T427" s="15" t="b">
        <v>0</v>
      </c>
      <c r="U427" s="47"/>
      <c r="V427" s="47"/>
      <c r="W427" s="47" t="s">
        <v>697</v>
      </c>
      <c r="X427" s="47"/>
      <c r="Y427" s="47"/>
      <c r="Z427" s="47"/>
      <c r="AA427" s="47"/>
      <c r="AB427" s="47"/>
      <c r="AC427" s="47"/>
      <c r="AD427" s="47"/>
      <c r="AE427" s="47"/>
      <c r="AF427" s="47"/>
      <c r="AG427" s="47"/>
      <c r="AH427" s="47"/>
      <c r="AI427" s="47"/>
      <c r="AJ427" s="47"/>
      <c r="AK427" s="47"/>
    </row>
    <row r="428" ht="17.25" customHeight="1">
      <c r="A428" s="80" t="s">
        <v>698</v>
      </c>
      <c r="B428" s="48" t="s">
        <v>72</v>
      </c>
      <c r="C428" s="47" t="s">
        <v>72</v>
      </c>
      <c r="D428" s="47" t="s">
        <v>74</v>
      </c>
      <c r="E428" s="47" t="s">
        <v>75</v>
      </c>
      <c r="F428" s="47" t="s">
        <v>76</v>
      </c>
      <c r="G428" s="47" t="s">
        <v>16</v>
      </c>
      <c r="H428" s="49" t="b">
        <v>1</v>
      </c>
      <c r="I428" s="49" t="b">
        <v>0</v>
      </c>
      <c r="J428" s="49"/>
      <c r="K428" s="49" t="b">
        <v>1</v>
      </c>
      <c r="L428" s="49" t="b">
        <v>1</v>
      </c>
      <c r="M428" s="49" t="b">
        <v>1</v>
      </c>
      <c r="N428" s="49" t="b">
        <v>1</v>
      </c>
      <c r="O428" s="49" t="b">
        <v>0</v>
      </c>
      <c r="P428" s="14" t="s">
        <v>113</v>
      </c>
      <c r="Q428" s="49" t="b">
        <v>1</v>
      </c>
      <c r="R428" s="49" t="b">
        <v>1</v>
      </c>
      <c r="S428" s="14" t="b">
        <v>1</v>
      </c>
      <c r="T428" s="14" t="b">
        <v>1</v>
      </c>
      <c r="X428" s="47"/>
      <c r="Y428" s="47"/>
      <c r="Z428" s="47"/>
      <c r="AA428" s="47"/>
      <c r="AB428" s="47"/>
      <c r="AC428" s="47"/>
      <c r="AD428" s="47"/>
      <c r="AE428" s="47"/>
      <c r="AF428" s="47"/>
      <c r="AG428" s="47"/>
      <c r="AH428" s="47"/>
      <c r="AI428" s="47"/>
      <c r="AJ428" s="47"/>
      <c r="AK428" s="47"/>
    </row>
    <row r="429" ht="17.25" customHeight="1">
      <c r="A429" s="47" t="s">
        <v>699</v>
      </c>
      <c r="B429" s="48" t="s">
        <v>80</v>
      </c>
      <c r="C429" s="47" t="s">
        <v>84</v>
      </c>
      <c r="D429" s="47" t="s">
        <v>85</v>
      </c>
      <c r="E429" s="47" t="s">
        <v>82</v>
      </c>
      <c r="F429" s="47" t="s">
        <v>86</v>
      </c>
      <c r="G429" s="47" t="s">
        <v>15</v>
      </c>
      <c r="H429" s="49" t="b">
        <v>0</v>
      </c>
      <c r="I429" s="49" t="b">
        <v>0</v>
      </c>
      <c r="J429" s="49" t="s">
        <v>242</v>
      </c>
      <c r="K429" s="49" t="b">
        <v>0</v>
      </c>
      <c r="L429" s="49" t="b">
        <v>0</v>
      </c>
      <c r="M429" s="49" t="b">
        <v>0</v>
      </c>
      <c r="N429" s="49" t="b">
        <v>0</v>
      </c>
      <c r="O429" s="49" t="b">
        <v>0</v>
      </c>
      <c r="P429" s="14" t="s">
        <v>87</v>
      </c>
      <c r="Q429" s="49" t="b">
        <v>0</v>
      </c>
      <c r="R429" s="49" t="b">
        <v>0</v>
      </c>
      <c r="S429" s="15" t="b">
        <v>0</v>
      </c>
      <c r="T429" s="15" t="b">
        <v>0</v>
      </c>
      <c r="U429" s="47" t="s">
        <v>215</v>
      </c>
      <c r="V429" s="47"/>
      <c r="W429" s="47" t="s">
        <v>700</v>
      </c>
      <c r="X429" s="47"/>
      <c r="Y429" s="47"/>
      <c r="Z429" s="47"/>
      <c r="AA429" s="47"/>
      <c r="AB429" s="47"/>
      <c r="AC429" s="47"/>
      <c r="AD429" s="47"/>
      <c r="AE429" s="47"/>
      <c r="AF429" s="47"/>
      <c r="AG429" s="47"/>
      <c r="AH429" s="47"/>
      <c r="AI429" s="47"/>
      <c r="AJ429" s="47"/>
      <c r="AK429" s="47"/>
    </row>
    <row r="430" ht="17.25" customHeight="1">
      <c r="A430" s="58" t="s">
        <v>701</v>
      </c>
      <c r="B430" s="48" t="s">
        <v>145</v>
      </c>
      <c r="C430" s="47" t="s">
        <v>95</v>
      </c>
      <c r="D430" s="47" t="s">
        <v>74</v>
      </c>
      <c r="E430" s="47" t="s">
        <v>82</v>
      </c>
      <c r="F430" s="47" t="s">
        <v>76</v>
      </c>
      <c r="G430" s="47" t="s">
        <v>11</v>
      </c>
      <c r="H430" s="49" t="b">
        <v>0</v>
      </c>
      <c r="I430" s="49" t="b">
        <v>1</v>
      </c>
      <c r="J430" s="49"/>
      <c r="K430" s="49" t="b">
        <v>0</v>
      </c>
      <c r="L430" s="49" t="b">
        <v>0</v>
      </c>
      <c r="M430" s="49" t="b">
        <v>1</v>
      </c>
      <c r="N430" s="49"/>
      <c r="O430" s="49" t="b">
        <v>0</v>
      </c>
      <c r="P430" s="14" t="s">
        <v>23</v>
      </c>
      <c r="Q430" s="49" t="b">
        <v>0</v>
      </c>
      <c r="R430" s="49" t="b">
        <v>0</v>
      </c>
      <c r="S430" s="15" t="b">
        <v>0</v>
      </c>
      <c r="T430" s="15" t="b">
        <v>0</v>
      </c>
      <c r="W430" s="47"/>
      <c r="X430" s="47"/>
      <c r="Y430" s="47"/>
      <c r="Z430" s="47"/>
      <c r="AA430" s="47"/>
      <c r="AB430" s="47"/>
      <c r="AC430" s="47"/>
      <c r="AD430" s="47"/>
      <c r="AE430" s="47"/>
      <c r="AF430" s="47"/>
      <c r="AG430" s="47"/>
      <c r="AH430" s="47"/>
      <c r="AI430" s="47"/>
      <c r="AJ430" s="47"/>
      <c r="AK430" s="47"/>
    </row>
    <row r="431" ht="17.25" customHeight="1">
      <c r="A431" s="47" t="s">
        <v>702</v>
      </c>
      <c r="B431" s="48" t="s">
        <v>72</v>
      </c>
      <c r="C431" s="48" t="s">
        <v>72</v>
      </c>
      <c r="D431" s="47" t="s">
        <v>90</v>
      </c>
      <c r="E431" s="47" t="s">
        <v>82</v>
      </c>
      <c r="F431" s="47" t="s">
        <v>86</v>
      </c>
      <c r="G431" s="47" t="s">
        <v>15</v>
      </c>
      <c r="H431" s="49" t="b">
        <v>0</v>
      </c>
      <c r="I431" s="49" t="b">
        <v>1</v>
      </c>
      <c r="J431" s="49" t="s">
        <v>242</v>
      </c>
      <c r="K431" s="49" t="b">
        <v>0</v>
      </c>
      <c r="L431" s="49" t="b">
        <v>0</v>
      </c>
      <c r="M431" s="49" t="b">
        <v>0</v>
      </c>
      <c r="N431" s="49" t="b">
        <v>0</v>
      </c>
      <c r="O431" s="49" t="b">
        <v>0</v>
      </c>
      <c r="P431" s="14" t="s">
        <v>23</v>
      </c>
      <c r="Q431" s="49" t="b">
        <v>0</v>
      </c>
      <c r="R431" s="49" t="b">
        <v>0</v>
      </c>
      <c r="S431" s="15" t="b">
        <v>0</v>
      </c>
      <c r="T431" s="15" t="b">
        <v>0</v>
      </c>
      <c r="U431" s="47" t="s">
        <v>215</v>
      </c>
      <c r="V431" s="47"/>
      <c r="W431" s="85" t="s">
        <v>703</v>
      </c>
      <c r="X431" s="47"/>
      <c r="Y431" s="47"/>
      <c r="Z431" s="47"/>
      <c r="AA431" s="47"/>
      <c r="AB431" s="47"/>
      <c r="AC431" s="47"/>
      <c r="AD431" s="47"/>
      <c r="AE431" s="47"/>
      <c r="AF431" s="47"/>
      <c r="AG431" s="47"/>
      <c r="AH431" s="47"/>
      <c r="AI431" s="47"/>
      <c r="AJ431" s="47"/>
      <c r="AK431" s="47"/>
    </row>
    <row r="432" ht="17.25" customHeight="1">
      <c r="A432" s="47" t="s">
        <v>704</v>
      </c>
      <c r="B432" s="48" t="s">
        <v>103</v>
      </c>
      <c r="C432" s="48" t="s">
        <v>103</v>
      </c>
      <c r="D432" s="47" t="s">
        <v>142</v>
      </c>
      <c r="E432" s="47" t="s">
        <v>75</v>
      </c>
      <c r="F432" s="47" t="s">
        <v>86</v>
      </c>
      <c r="G432" s="47" t="s">
        <v>21</v>
      </c>
      <c r="H432" s="49" t="b">
        <v>0</v>
      </c>
      <c r="I432" s="49" t="b">
        <v>0</v>
      </c>
      <c r="J432" s="49"/>
      <c r="K432" s="49" t="b">
        <v>0</v>
      </c>
      <c r="L432" s="49" t="b">
        <v>0</v>
      </c>
      <c r="M432" s="49" t="b">
        <v>0</v>
      </c>
      <c r="N432" s="49" t="b">
        <v>0</v>
      </c>
      <c r="O432" s="49" t="b">
        <v>0</v>
      </c>
      <c r="P432" s="57"/>
      <c r="Q432" s="49" t="b">
        <v>1</v>
      </c>
      <c r="R432" s="49" t="b">
        <v>0</v>
      </c>
      <c r="S432" s="15" t="b">
        <v>0</v>
      </c>
      <c r="T432" s="15" t="b">
        <v>0</v>
      </c>
      <c r="V432" s="14" t="s">
        <v>106</v>
      </c>
      <c r="X432" s="47"/>
      <c r="Y432" s="47"/>
      <c r="Z432" s="47"/>
      <c r="AA432" s="47"/>
      <c r="AB432" s="47"/>
      <c r="AC432" s="47"/>
      <c r="AD432" s="47"/>
      <c r="AE432" s="47"/>
      <c r="AF432" s="47"/>
      <c r="AG432" s="47"/>
      <c r="AH432" s="47"/>
      <c r="AI432" s="47"/>
      <c r="AJ432" s="47"/>
      <c r="AK432" s="47"/>
    </row>
    <row r="433" ht="17.25" customHeight="1">
      <c r="A433" s="50" t="s">
        <v>705</v>
      </c>
      <c r="B433" s="48" t="s">
        <v>72</v>
      </c>
      <c r="C433" s="47" t="s">
        <v>72</v>
      </c>
      <c r="D433" s="47" t="s">
        <v>74</v>
      </c>
      <c r="E433" s="47" t="s">
        <v>91</v>
      </c>
      <c r="F433" s="47" t="s">
        <v>76</v>
      </c>
      <c r="G433" s="47" t="s">
        <v>21</v>
      </c>
      <c r="H433" s="49" t="b">
        <v>0</v>
      </c>
      <c r="I433" s="49" t="b">
        <v>0</v>
      </c>
      <c r="J433" s="49"/>
      <c r="K433" s="49" t="b">
        <v>0</v>
      </c>
      <c r="L433" s="49" t="b">
        <v>0</v>
      </c>
      <c r="M433" s="49" t="b">
        <v>1</v>
      </c>
      <c r="N433" s="49" t="b">
        <v>0</v>
      </c>
      <c r="O433" s="49" t="b">
        <v>1</v>
      </c>
      <c r="P433" s="57"/>
      <c r="Q433" s="49" t="b">
        <v>1</v>
      </c>
      <c r="R433" s="49" t="b">
        <v>1</v>
      </c>
      <c r="S433" s="15" t="b">
        <v>0</v>
      </c>
      <c r="T433" s="15" t="b">
        <v>0</v>
      </c>
      <c r="W433" s="14" t="s">
        <v>356</v>
      </c>
      <c r="X433" s="47"/>
      <c r="Y433" s="47"/>
      <c r="Z433" s="47"/>
      <c r="AA433" s="47"/>
      <c r="AB433" s="47"/>
      <c r="AC433" s="47"/>
      <c r="AD433" s="47"/>
      <c r="AE433" s="47"/>
      <c r="AF433" s="47"/>
      <c r="AG433" s="47"/>
      <c r="AH433" s="47"/>
      <c r="AI433" s="47"/>
      <c r="AJ433" s="47"/>
      <c r="AK433" s="47"/>
    </row>
    <row r="434" ht="17.25" customHeight="1">
      <c r="A434" s="50" t="s">
        <v>706</v>
      </c>
      <c r="B434" s="48" t="s">
        <v>72</v>
      </c>
      <c r="C434" s="48" t="s">
        <v>72</v>
      </c>
      <c r="D434" s="47" t="s">
        <v>74</v>
      </c>
      <c r="E434" s="47" t="s">
        <v>96</v>
      </c>
      <c r="F434" s="47" t="s">
        <v>76</v>
      </c>
      <c r="G434" s="47" t="s">
        <v>21</v>
      </c>
      <c r="H434" s="49" t="b">
        <v>0</v>
      </c>
      <c r="I434" s="49" t="b">
        <v>0</v>
      </c>
      <c r="J434" s="49"/>
      <c r="K434" s="49" t="b">
        <v>0</v>
      </c>
      <c r="L434" s="49" t="b">
        <v>0</v>
      </c>
      <c r="M434" s="49" t="b">
        <v>0</v>
      </c>
      <c r="N434" s="49" t="b">
        <v>0</v>
      </c>
      <c r="O434" s="49" t="b">
        <v>0</v>
      </c>
      <c r="P434" s="57"/>
      <c r="Q434" s="49" t="b">
        <v>0</v>
      </c>
      <c r="R434" s="49" t="b">
        <v>0</v>
      </c>
      <c r="S434" s="15" t="b">
        <v>0</v>
      </c>
      <c r="T434" s="15" t="b">
        <v>0</v>
      </c>
      <c r="X434" s="47"/>
      <c r="Y434" s="47"/>
      <c r="Z434" s="47"/>
      <c r="AA434" s="47"/>
      <c r="AB434" s="47"/>
      <c r="AC434" s="47"/>
      <c r="AD434" s="47"/>
      <c r="AE434" s="47"/>
      <c r="AF434" s="47"/>
      <c r="AG434" s="47"/>
      <c r="AH434" s="47"/>
      <c r="AI434" s="47"/>
      <c r="AJ434" s="47"/>
      <c r="AK434" s="47"/>
    </row>
    <row r="435" ht="17.25" customHeight="1">
      <c r="A435" s="58" t="s">
        <v>707</v>
      </c>
      <c r="B435" s="48" t="s">
        <v>103</v>
      </c>
      <c r="C435" s="48" t="s">
        <v>103</v>
      </c>
      <c r="D435" s="47" t="s">
        <v>100</v>
      </c>
      <c r="E435" s="47" t="s">
        <v>82</v>
      </c>
      <c r="F435" s="47" t="s">
        <v>76</v>
      </c>
      <c r="G435" s="47" t="s">
        <v>10</v>
      </c>
      <c r="H435" s="49" t="b">
        <v>0</v>
      </c>
      <c r="I435" s="49" t="b">
        <v>0</v>
      </c>
      <c r="J435" s="49"/>
      <c r="K435" s="49" t="b">
        <v>1</v>
      </c>
      <c r="L435" s="49" t="b">
        <v>0</v>
      </c>
      <c r="M435" s="49" t="b">
        <v>1</v>
      </c>
      <c r="N435" s="49" t="b">
        <v>0</v>
      </c>
      <c r="O435" s="49" t="b">
        <v>0</v>
      </c>
      <c r="P435" s="14" t="s">
        <v>23</v>
      </c>
      <c r="Q435" s="49" t="b">
        <v>1</v>
      </c>
      <c r="R435" s="49" t="b">
        <v>1</v>
      </c>
      <c r="S435" s="15" t="b">
        <v>0</v>
      </c>
      <c r="T435" s="15" t="b">
        <v>0</v>
      </c>
      <c r="V435" s="14" t="s">
        <v>106</v>
      </c>
      <c r="X435" s="47"/>
      <c r="Y435" s="47"/>
      <c r="Z435" s="47"/>
      <c r="AA435" s="47"/>
      <c r="AB435" s="47"/>
      <c r="AC435" s="47"/>
      <c r="AD435" s="47"/>
      <c r="AE435" s="47"/>
      <c r="AF435" s="47"/>
      <c r="AG435" s="47"/>
      <c r="AH435" s="47"/>
      <c r="AI435" s="47"/>
      <c r="AJ435" s="47"/>
      <c r="AK435" s="47"/>
    </row>
    <row r="436" ht="17.25" customHeight="1">
      <c r="A436" s="58" t="s">
        <v>708</v>
      </c>
      <c r="B436" s="48" t="s">
        <v>72</v>
      </c>
      <c r="C436" s="47" t="s">
        <v>72</v>
      </c>
      <c r="D436" s="47" t="s">
        <v>122</v>
      </c>
      <c r="E436" s="47" t="s">
        <v>75</v>
      </c>
      <c r="F436" s="47" t="s">
        <v>86</v>
      </c>
      <c r="G436" s="47" t="s">
        <v>15</v>
      </c>
      <c r="H436" s="49" t="b">
        <v>1</v>
      </c>
      <c r="I436" s="49" t="b">
        <v>0</v>
      </c>
      <c r="J436" s="49" t="s">
        <v>242</v>
      </c>
      <c r="K436" s="49" t="b">
        <v>0</v>
      </c>
      <c r="L436" s="49" t="b">
        <v>0</v>
      </c>
      <c r="M436" s="49" t="b">
        <v>0</v>
      </c>
      <c r="N436" s="49" t="b">
        <v>0</v>
      </c>
      <c r="O436" s="49" t="b">
        <v>0</v>
      </c>
      <c r="P436" s="14" t="s">
        <v>113</v>
      </c>
      <c r="Q436" s="49" t="b">
        <v>1</v>
      </c>
      <c r="R436" s="49" t="b">
        <v>0</v>
      </c>
      <c r="S436" s="15" t="b">
        <v>0</v>
      </c>
      <c r="T436" s="15" t="b">
        <v>0</v>
      </c>
      <c r="U436" s="14" t="s">
        <v>215</v>
      </c>
      <c r="W436" s="14" t="s">
        <v>709</v>
      </c>
      <c r="X436" s="47"/>
      <c r="Y436" s="47"/>
      <c r="Z436" s="47"/>
      <c r="AA436" s="47"/>
      <c r="AB436" s="47"/>
      <c r="AC436" s="47"/>
      <c r="AD436" s="47"/>
      <c r="AE436" s="47"/>
      <c r="AF436" s="47"/>
      <c r="AG436" s="47"/>
      <c r="AH436" s="47"/>
      <c r="AI436" s="47"/>
      <c r="AJ436" s="47"/>
      <c r="AK436" s="47"/>
    </row>
    <row r="437" ht="17.25" customHeight="1">
      <c r="A437" s="58" t="s">
        <v>710</v>
      </c>
      <c r="B437" s="48" t="s">
        <v>103</v>
      </c>
      <c r="C437" s="48" t="s">
        <v>103</v>
      </c>
      <c r="D437" s="47" t="s">
        <v>100</v>
      </c>
      <c r="E437" s="47" t="s">
        <v>96</v>
      </c>
      <c r="F437" s="47" t="s">
        <v>76</v>
      </c>
      <c r="G437" s="47" t="s">
        <v>11</v>
      </c>
      <c r="H437" s="49" t="b">
        <v>1</v>
      </c>
      <c r="I437" s="49" t="b">
        <v>0</v>
      </c>
      <c r="J437" s="49" t="b">
        <v>0</v>
      </c>
      <c r="K437" s="49" t="b">
        <v>0</v>
      </c>
      <c r="L437" s="49" t="b">
        <v>0</v>
      </c>
      <c r="M437" s="49" t="b">
        <v>0</v>
      </c>
      <c r="N437" s="49" t="b">
        <v>0</v>
      </c>
      <c r="O437" s="49" t="b">
        <v>0</v>
      </c>
      <c r="P437" s="14" t="s">
        <v>78</v>
      </c>
      <c r="Q437" s="49" t="b">
        <v>0</v>
      </c>
      <c r="R437" s="49" t="b">
        <v>0</v>
      </c>
      <c r="S437" s="14" t="b">
        <v>0</v>
      </c>
      <c r="T437" s="14" t="b">
        <v>0</v>
      </c>
      <c r="V437" s="47"/>
      <c r="W437" s="47"/>
      <c r="X437" s="47"/>
      <c r="Y437" s="47"/>
      <c r="Z437" s="47"/>
      <c r="AA437" s="47"/>
      <c r="AB437" s="47"/>
      <c r="AC437" s="47"/>
      <c r="AD437" s="47"/>
      <c r="AE437" s="47"/>
      <c r="AF437" s="47"/>
      <c r="AG437" s="47"/>
      <c r="AH437" s="47"/>
      <c r="AI437" s="47"/>
      <c r="AJ437" s="47"/>
      <c r="AK437" s="47"/>
    </row>
    <row r="438" ht="17.25" customHeight="1">
      <c r="A438" s="47" t="s">
        <v>711</v>
      </c>
      <c r="B438" s="48" t="s">
        <v>103</v>
      </c>
      <c r="C438" s="48" t="s">
        <v>103</v>
      </c>
      <c r="D438" s="47" t="s">
        <v>142</v>
      </c>
      <c r="E438" s="47" t="s">
        <v>75</v>
      </c>
      <c r="F438" s="47" t="s">
        <v>76</v>
      </c>
      <c r="G438" s="47" t="s">
        <v>21</v>
      </c>
      <c r="H438" s="49" t="b">
        <v>0</v>
      </c>
      <c r="I438" s="49" t="b">
        <v>0</v>
      </c>
      <c r="J438" s="49" t="b">
        <v>0</v>
      </c>
      <c r="K438" s="49" t="b">
        <v>1</v>
      </c>
      <c r="L438" s="49" t="b">
        <v>1</v>
      </c>
      <c r="M438" s="49" t="b">
        <v>1</v>
      </c>
      <c r="N438" s="49" t="b">
        <v>1</v>
      </c>
      <c r="O438" s="49" t="b">
        <v>0</v>
      </c>
      <c r="P438" s="14" t="s">
        <v>134</v>
      </c>
      <c r="Q438" s="49" t="b">
        <v>1</v>
      </c>
      <c r="R438" s="49" t="b">
        <v>1</v>
      </c>
      <c r="S438" s="15" t="b">
        <v>0</v>
      </c>
      <c r="T438" s="15" t="b">
        <v>0</v>
      </c>
      <c r="W438" s="14" t="s">
        <v>712</v>
      </c>
      <c r="X438" s="47"/>
      <c r="Y438" s="47"/>
      <c r="Z438" s="47"/>
      <c r="AA438" s="47"/>
      <c r="AB438" s="47"/>
      <c r="AC438" s="47"/>
      <c r="AD438" s="47"/>
      <c r="AE438" s="47"/>
      <c r="AF438" s="47"/>
      <c r="AG438" s="47"/>
      <c r="AH438" s="47"/>
      <c r="AI438" s="47"/>
      <c r="AJ438" s="47"/>
      <c r="AK438" s="47"/>
    </row>
    <row r="439" ht="17.25" customHeight="1">
      <c r="A439" s="58" t="s">
        <v>713</v>
      </c>
      <c r="B439" s="48" t="s">
        <v>80</v>
      </c>
      <c r="C439" s="47" t="s">
        <v>84</v>
      </c>
      <c r="D439" s="47" t="s">
        <v>74</v>
      </c>
      <c r="E439" s="47" t="s">
        <v>75</v>
      </c>
      <c r="F439" s="47" t="s">
        <v>86</v>
      </c>
      <c r="G439" s="47" t="s">
        <v>16</v>
      </c>
      <c r="H439" s="49" t="b">
        <v>0</v>
      </c>
      <c r="I439" s="49" t="b">
        <v>0</v>
      </c>
      <c r="J439" s="49" t="b">
        <v>0</v>
      </c>
      <c r="K439" s="49" t="b">
        <v>0</v>
      </c>
      <c r="L439" s="49" t="b">
        <v>0</v>
      </c>
      <c r="M439" s="49" t="b">
        <v>1</v>
      </c>
      <c r="N439" s="49" t="b">
        <v>0</v>
      </c>
      <c r="O439" s="49" t="b">
        <v>0</v>
      </c>
      <c r="P439" s="14" t="s">
        <v>87</v>
      </c>
      <c r="Q439" s="49" t="b">
        <v>1</v>
      </c>
      <c r="R439" s="49" t="b">
        <v>1</v>
      </c>
      <c r="S439" s="15" t="b">
        <v>0</v>
      </c>
      <c r="T439" s="15" t="b">
        <v>0</v>
      </c>
      <c r="X439" s="47"/>
      <c r="Y439" s="47"/>
      <c r="Z439" s="47"/>
      <c r="AA439" s="47"/>
      <c r="AB439" s="47"/>
      <c r="AC439" s="47"/>
      <c r="AD439" s="47"/>
      <c r="AE439" s="47"/>
      <c r="AF439" s="47"/>
      <c r="AG439" s="47"/>
      <c r="AH439" s="47"/>
      <c r="AI439" s="47"/>
      <c r="AJ439" s="47"/>
      <c r="AK439" s="47"/>
    </row>
    <row r="440" ht="17.25" customHeight="1">
      <c r="A440" s="47" t="s">
        <v>714</v>
      </c>
      <c r="B440" s="48" t="s">
        <v>103</v>
      </c>
      <c r="C440" s="48" t="s">
        <v>103</v>
      </c>
      <c r="D440" s="47" t="s">
        <v>100</v>
      </c>
      <c r="E440" s="47" t="s">
        <v>101</v>
      </c>
      <c r="F440" s="47" t="s">
        <v>76</v>
      </c>
      <c r="G440" s="47" t="s">
        <v>10</v>
      </c>
      <c r="H440" s="49" t="b">
        <v>0</v>
      </c>
      <c r="I440" s="49" t="b">
        <v>0</v>
      </c>
      <c r="J440" s="49" t="b">
        <v>0</v>
      </c>
      <c r="K440" s="49" t="b">
        <v>1</v>
      </c>
      <c r="L440" s="49" t="b">
        <v>1</v>
      </c>
      <c r="M440" s="49" t="b">
        <v>1</v>
      </c>
      <c r="N440" s="49" t="b">
        <v>0</v>
      </c>
      <c r="O440" s="49" t="b">
        <v>0</v>
      </c>
      <c r="P440" s="14" t="s">
        <v>87</v>
      </c>
      <c r="Q440" s="49" t="b">
        <v>1</v>
      </c>
      <c r="R440" s="49" t="b">
        <v>1</v>
      </c>
      <c r="S440" s="15" t="b">
        <v>0</v>
      </c>
      <c r="T440" s="14" t="b">
        <v>1</v>
      </c>
      <c r="X440" s="47"/>
      <c r="Y440" s="47"/>
      <c r="Z440" s="47"/>
      <c r="AA440" s="47"/>
      <c r="AB440" s="47"/>
      <c r="AC440" s="47"/>
      <c r="AD440" s="47"/>
      <c r="AE440" s="47"/>
      <c r="AF440" s="47"/>
      <c r="AG440" s="47"/>
      <c r="AH440" s="47"/>
      <c r="AI440" s="47"/>
      <c r="AJ440" s="47"/>
      <c r="AK440" s="47"/>
    </row>
    <row r="441" ht="17.25" customHeight="1">
      <c r="A441" s="47" t="s">
        <v>715</v>
      </c>
      <c r="B441" s="48" t="s">
        <v>103</v>
      </c>
      <c r="C441" s="48" t="s">
        <v>103</v>
      </c>
      <c r="D441" s="47" t="s">
        <v>100</v>
      </c>
      <c r="E441" s="47" t="s">
        <v>629</v>
      </c>
      <c r="F441" s="47" t="s">
        <v>76</v>
      </c>
      <c r="G441" s="47" t="s">
        <v>10</v>
      </c>
      <c r="H441" s="49" t="b">
        <v>1</v>
      </c>
      <c r="I441" s="49" t="b">
        <v>0</v>
      </c>
      <c r="J441" s="49" t="b">
        <v>0</v>
      </c>
      <c r="K441" s="49" t="b">
        <v>1</v>
      </c>
      <c r="L441" s="49" t="b">
        <v>1</v>
      </c>
      <c r="M441" s="49" t="b">
        <v>0</v>
      </c>
      <c r="N441" s="49" t="b">
        <v>0</v>
      </c>
      <c r="O441" s="49" t="b">
        <v>0</v>
      </c>
      <c r="P441" s="14" t="s">
        <v>138</v>
      </c>
      <c r="Q441" s="49" t="b">
        <v>1</v>
      </c>
      <c r="R441" s="49" t="b">
        <v>1</v>
      </c>
      <c r="S441" s="15" t="b">
        <v>0</v>
      </c>
      <c r="T441" s="15" t="b">
        <v>0</v>
      </c>
      <c r="V441" s="14" t="s">
        <v>106</v>
      </c>
      <c r="X441" s="47"/>
      <c r="Y441" s="47"/>
      <c r="Z441" s="47"/>
      <c r="AA441" s="47"/>
      <c r="AB441" s="47"/>
      <c r="AC441" s="47"/>
      <c r="AD441" s="47"/>
      <c r="AE441" s="47"/>
      <c r="AF441" s="47"/>
      <c r="AG441" s="47"/>
      <c r="AH441" s="47"/>
      <c r="AI441" s="47"/>
      <c r="AJ441" s="47"/>
      <c r="AK441" s="47"/>
    </row>
    <row r="442" ht="17.25" customHeight="1">
      <c r="A442" s="47" t="s">
        <v>716</v>
      </c>
      <c r="B442" s="48" t="s">
        <v>80</v>
      </c>
      <c r="C442" s="47" t="s">
        <v>95</v>
      </c>
      <c r="D442" s="47" t="s">
        <v>100</v>
      </c>
      <c r="E442" s="47" t="s">
        <v>629</v>
      </c>
      <c r="F442" s="47" t="s">
        <v>76</v>
      </c>
      <c r="G442" s="47" t="s">
        <v>10</v>
      </c>
      <c r="H442" s="49" t="b">
        <v>1</v>
      </c>
      <c r="I442" s="49" t="b">
        <v>0</v>
      </c>
      <c r="J442" s="49" t="b">
        <v>0</v>
      </c>
      <c r="K442" s="49" t="b">
        <v>1</v>
      </c>
      <c r="L442" s="49" t="b">
        <v>0</v>
      </c>
      <c r="M442" s="49" t="b">
        <v>0</v>
      </c>
      <c r="N442" s="49" t="b">
        <v>0</v>
      </c>
      <c r="O442" s="49" t="b">
        <v>0</v>
      </c>
      <c r="P442" s="14" t="s">
        <v>138</v>
      </c>
      <c r="Q442" s="49" t="b">
        <v>1</v>
      </c>
      <c r="R442" s="49" t="b">
        <v>1</v>
      </c>
      <c r="S442" s="15" t="b">
        <v>0</v>
      </c>
      <c r="T442" s="15" t="b">
        <v>0</v>
      </c>
      <c r="X442" s="47"/>
      <c r="Y442" s="47"/>
      <c r="Z442" s="47"/>
      <c r="AA442" s="47"/>
      <c r="AB442" s="47"/>
      <c r="AC442" s="47"/>
      <c r="AD442" s="47"/>
      <c r="AE442" s="47"/>
      <c r="AF442" s="47"/>
      <c r="AG442" s="47"/>
      <c r="AH442" s="47"/>
      <c r="AI442" s="47"/>
      <c r="AJ442" s="47"/>
      <c r="AK442" s="47"/>
    </row>
    <row r="443" ht="17.25" customHeight="1">
      <c r="A443" s="47" t="s">
        <v>717</v>
      </c>
      <c r="B443" s="48" t="s">
        <v>103</v>
      </c>
      <c r="C443" s="48" t="s">
        <v>103</v>
      </c>
      <c r="D443" s="47" t="s">
        <v>142</v>
      </c>
      <c r="E443" s="47" t="s">
        <v>75</v>
      </c>
      <c r="F443" s="47" t="s">
        <v>86</v>
      </c>
      <c r="G443" s="47" t="s">
        <v>21</v>
      </c>
      <c r="H443" s="49" t="b">
        <v>0</v>
      </c>
      <c r="I443" s="49" t="b">
        <v>0</v>
      </c>
      <c r="J443" s="49" t="b">
        <v>0</v>
      </c>
      <c r="K443" s="49" t="b">
        <v>0</v>
      </c>
      <c r="L443" s="49" t="b">
        <v>0</v>
      </c>
      <c r="M443" s="49" t="b">
        <v>0</v>
      </c>
      <c r="N443" s="49" t="b">
        <v>0</v>
      </c>
      <c r="O443" s="49" t="b">
        <v>0</v>
      </c>
      <c r="P443" s="14" t="s">
        <v>138</v>
      </c>
      <c r="Q443" s="49" t="b">
        <v>1</v>
      </c>
      <c r="R443" s="49" t="b">
        <v>0</v>
      </c>
      <c r="S443" s="15" t="b">
        <v>0</v>
      </c>
      <c r="T443" s="14" t="b">
        <v>0</v>
      </c>
      <c r="V443" s="14" t="s">
        <v>106</v>
      </c>
      <c r="X443" s="47"/>
      <c r="Y443" s="47"/>
      <c r="Z443" s="47"/>
      <c r="AA443" s="47"/>
      <c r="AB443" s="47"/>
      <c r="AC443" s="47"/>
      <c r="AD443" s="47"/>
      <c r="AE443" s="47"/>
      <c r="AF443" s="47"/>
      <c r="AG443" s="47"/>
      <c r="AH443" s="47"/>
      <c r="AI443" s="47"/>
      <c r="AJ443" s="47"/>
      <c r="AK443" s="47"/>
    </row>
    <row r="444" ht="17.25" customHeight="1">
      <c r="A444" s="47" t="s">
        <v>718</v>
      </c>
      <c r="B444" s="48" t="s">
        <v>72</v>
      </c>
      <c r="C444" s="48" t="s">
        <v>72</v>
      </c>
      <c r="D444" s="48" t="s">
        <v>122</v>
      </c>
      <c r="E444" s="47" t="s">
        <v>75</v>
      </c>
      <c r="F444" s="48" t="s">
        <v>86</v>
      </c>
      <c r="G444" s="47" t="s">
        <v>8</v>
      </c>
      <c r="H444" s="49" t="b">
        <v>0</v>
      </c>
      <c r="I444" s="52" t="b">
        <v>0</v>
      </c>
      <c r="J444" s="52" t="b">
        <v>0</v>
      </c>
      <c r="K444" s="52" t="b">
        <v>0</v>
      </c>
      <c r="L444" s="52" t="b">
        <v>0</v>
      </c>
      <c r="M444" s="52" t="b">
        <v>0</v>
      </c>
      <c r="N444" s="52" t="b">
        <v>0</v>
      </c>
      <c r="O444" s="52" t="b">
        <v>0</v>
      </c>
      <c r="P444" s="48" t="s">
        <v>87</v>
      </c>
      <c r="Q444" s="52" t="b">
        <v>0</v>
      </c>
      <c r="R444" s="52" t="b">
        <v>0</v>
      </c>
      <c r="S444" s="52" t="b">
        <v>0</v>
      </c>
      <c r="T444" s="52" t="b">
        <v>0</v>
      </c>
      <c r="V444" s="47"/>
      <c r="W444" s="47"/>
      <c r="X444" s="47"/>
      <c r="Y444" s="47"/>
      <c r="Z444" s="47"/>
      <c r="AA444" s="47"/>
      <c r="AB444" s="47"/>
      <c r="AC444" s="47"/>
      <c r="AD444" s="47"/>
      <c r="AE444" s="47"/>
      <c r="AF444" s="47"/>
      <c r="AG444" s="47"/>
      <c r="AH444" s="47"/>
      <c r="AI444" s="47"/>
      <c r="AJ444" s="47"/>
      <c r="AK444" s="47"/>
    </row>
    <row r="445" ht="17.25" customHeight="1">
      <c r="A445" s="50" t="s">
        <v>719</v>
      </c>
      <c r="B445" s="48" t="s">
        <v>461</v>
      </c>
      <c r="C445" s="51" t="s">
        <v>73</v>
      </c>
      <c r="D445" s="51" t="s">
        <v>85</v>
      </c>
      <c r="E445" s="47" t="s">
        <v>82</v>
      </c>
      <c r="F445" s="51" t="s">
        <v>86</v>
      </c>
      <c r="G445" s="48" t="s">
        <v>21</v>
      </c>
      <c r="H445" s="49" t="b">
        <v>0</v>
      </c>
      <c r="I445" s="52" t="b">
        <v>0</v>
      </c>
      <c r="J445" s="52"/>
      <c r="K445" s="52" t="b">
        <v>0</v>
      </c>
      <c r="L445" s="52" t="b">
        <v>0</v>
      </c>
      <c r="M445" s="52" t="b">
        <v>0</v>
      </c>
      <c r="N445" s="52" t="b">
        <v>0</v>
      </c>
      <c r="O445" s="52" t="b">
        <v>0</v>
      </c>
      <c r="P445" s="48" t="s">
        <v>23</v>
      </c>
      <c r="Q445" s="52" t="b">
        <v>0</v>
      </c>
      <c r="R445" s="52" t="b">
        <v>0</v>
      </c>
      <c r="S445" s="52" t="b">
        <v>0</v>
      </c>
      <c r="T445" s="52" t="b">
        <v>0</v>
      </c>
      <c r="V445" s="47"/>
      <c r="W445" s="47"/>
      <c r="X445" s="47"/>
      <c r="Y445" s="47"/>
      <c r="Z445" s="47"/>
      <c r="AA445" s="47"/>
      <c r="AB445" s="47"/>
      <c r="AC445" s="47"/>
      <c r="AD445" s="47"/>
      <c r="AE445" s="47"/>
      <c r="AF445" s="47"/>
      <c r="AG445" s="47"/>
      <c r="AH445" s="47"/>
      <c r="AI445" s="47"/>
      <c r="AJ445" s="47"/>
      <c r="AK445" s="47"/>
    </row>
    <row r="446" ht="17.25" customHeight="1">
      <c r="A446" s="47" t="s">
        <v>720</v>
      </c>
      <c r="B446" s="48" t="s">
        <v>72</v>
      </c>
      <c r="C446" s="47" t="s">
        <v>721</v>
      </c>
      <c r="D446" s="47" t="s">
        <v>85</v>
      </c>
      <c r="E446" s="47" t="s">
        <v>101</v>
      </c>
      <c r="F446" s="47" t="s">
        <v>86</v>
      </c>
      <c r="G446" s="47" t="s">
        <v>15</v>
      </c>
      <c r="H446" s="49" t="b">
        <v>1</v>
      </c>
      <c r="I446" s="49" t="b">
        <v>0</v>
      </c>
      <c r="J446" s="49" t="s">
        <v>242</v>
      </c>
      <c r="K446" s="49" t="b">
        <v>0</v>
      </c>
      <c r="L446" s="49" t="b">
        <v>0</v>
      </c>
      <c r="M446" s="49" t="b">
        <v>0</v>
      </c>
      <c r="N446" s="49" t="b">
        <v>0</v>
      </c>
      <c r="O446" s="49" t="b">
        <v>0</v>
      </c>
      <c r="P446" s="14" t="s">
        <v>113</v>
      </c>
      <c r="Q446" s="49" t="b">
        <v>1</v>
      </c>
      <c r="R446" s="49" t="b">
        <v>0</v>
      </c>
      <c r="S446" s="15" t="b">
        <v>0</v>
      </c>
      <c r="T446" s="15" t="b">
        <v>0</v>
      </c>
      <c r="U446" s="14" t="s">
        <v>215</v>
      </c>
      <c r="W446" s="14" t="s">
        <v>722</v>
      </c>
      <c r="X446" s="47"/>
      <c r="Y446" s="47"/>
      <c r="Z446" s="47"/>
      <c r="AA446" s="47"/>
      <c r="AB446" s="47"/>
      <c r="AC446" s="47"/>
      <c r="AD446" s="47"/>
      <c r="AE446" s="47"/>
      <c r="AF446" s="47"/>
      <c r="AG446" s="47"/>
      <c r="AH446" s="47"/>
      <c r="AI446" s="47"/>
      <c r="AJ446" s="47"/>
      <c r="AK446" s="47"/>
    </row>
    <row r="447" ht="17.25" customHeight="1">
      <c r="A447" s="47" t="s">
        <v>723</v>
      </c>
      <c r="B447" s="48" t="s">
        <v>80</v>
      </c>
      <c r="C447" s="47" t="s">
        <v>95</v>
      </c>
      <c r="D447" s="47" t="s">
        <v>74</v>
      </c>
      <c r="E447" s="47" t="s">
        <v>96</v>
      </c>
      <c r="F447" s="47" t="s">
        <v>76</v>
      </c>
      <c r="G447" s="47" t="s">
        <v>11</v>
      </c>
      <c r="H447" s="49" t="b">
        <v>0</v>
      </c>
      <c r="I447" s="49" t="b">
        <v>0</v>
      </c>
      <c r="J447" s="49" t="b">
        <v>0</v>
      </c>
      <c r="K447" s="49" t="b">
        <v>0</v>
      </c>
      <c r="L447" s="49" t="b">
        <v>0</v>
      </c>
      <c r="M447" s="49" t="b">
        <v>1</v>
      </c>
      <c r="N447" s="49" t="b">
        <v>0</v>
      </c>
      <c r="O447" s="49" t="b">
        <v>1</v>
      </c>
      <c r="P447" s="14" t="s">
        <v>134</v>
      </c>
      <c r="Q447" s="49" t="b">
        <v>1</v>
      </c>
      <c r="R447" s="49" t="b">
        <v>1</v>
      </c>
      <c r="S447" s="15" t="b">
        <v>0</v>
      </c>
      <c r="T447" s="15" t="b">
        <v>0</v>
      </c>
      <c r="X447" s="47"/>
      <c r="Y447" s="47"/>
      <c r="Z447" s="47"/>
      <c r="AA447" s="47"/>
      <c r="AB447" s="47"/>
      <c r="AC447" s="47"/>
      <c r="AD447" s="47"/>
      <c r="AE447" s="47"/>
      <c r="AF447" s="47"/>
      <c r="AG447" s="47"/>
      <c r="AH447" s="47"/>
      <c r="AI447" s="47"/>
      <c r="AJ447" s="47"/>
      <c r="AK447" s="47"/>
    </row>
    <row r="448" ht="17.25" customHeight="1">
      <c r="A448" s="47" t="s">
        <v>724</v>
      </c>
      <c r="B448" s="48" t="s">
        <v>80</v>
      </c>
      <c r="C448" s="47" t="s">
        <v>84</v>
      </c>
      <c r="D448" s="47" t="s">
        <v>90</v>
      </c>
      <c r="E448" s="47" t="s">
        <v>101</v>
      </c>
      <c r="F448" s="47" t="s">
        <v>86</v>
      </c>
      <c r="G448" s="47" t="s">
        <v>16</v>
      </c>
      <c r="H448" s="49" t="b">
        <v>1</v>
      </c>
      <c r="I448" s="49" t="b">
        <v>0</v>
      </c>
      <c r="J448" s="49" t="b">
        <v>0</v>
      </c>
      <c r="K448" s="49" t="b">
        <v>0</v>
      </c>
      <c r="L448" s="49" t="b">
        <v>0</v>
      </c>
      <c r="M448" s="49" t="b">
        <v>0</v>
      </c>
      <c r="N448" s="49" t="b">
        <v>0</v>
      </c>
      <c r="O448" s="49" t="b">
        <v>0</v>
      </c>
      <c r="P448" s="14" t="s">
        <v>78</v>
      </c>
      <c r="Q448" s="49" t="b">
        <v>0</v>
      </c>
      <c r="R448" s="49" t="b">
        <v>0</v>
      </c>
      <c r="S448" s="15" t="b">
        <v>0</v>
      </c>
      <c r="T448" s="14" t="b">
        <v>0</v>
      </c>
      <c r="U448" s="47"/>
      <c r="V448" s="47"/>
      <c r="W448" s="47"/>
      <c r="X448" s="47"/>
      <c r="Y448" s="47"/>
      <c r="Z448" s="47"/>
      <c r="AA448" s="47"/>
      <c r="AB448" s="47"/>
      <c r="AC448" s="47"/>
      <c r="AD448" s="47"/>
      <c r="AE448" s="47"/>
      <c r="AF448" s="47"/>
      <c r="AG448" s="47"/>
      <c r="AH448" s="47"/>
      <c r="AI448" s="47"/>
      <c r="AJ448" s="47"/>
      <c r="AK448" s="47"/>
    </row>
    <row r="449" ht="17.25" customHeight="1">
      <c r="A449" s="47" t="s">
        <v>725</v>
      </c>
      <c r="B449" s="48" t="s">
        <v>145</v>
      </c>
      <c r="C449" s="47" t="s">
        <v>95</v>
      </c>
      <c r="D449" s="47" t="s">
        <v>142</v>
      </c>
      <c r="E449" s="47" t="s">
        <v>75</v>
      </c>
      <c r="F449" s="47" t="s">
        <v>86</v>
      </c>
      <c r="G449" s="47" t="s">
        <v>21</v>
      </c>
      <c r="H449" s="49" t="b">
        <v>0</v>
      </c>
      <c r="I449" s="49" t="b">
        <v>0</v>
      </c>
      <c r="J449" s="49"/>
      <c r="K449" s="49" t="b">
        <v>1</v>
      </c>
      <c r="L449" s="49" t="b">
        <v>0</v>
      </c>
      <c r="M449" s="49" t="b">
        <v>0</v>
      </c>
      <c r="N449" s="49" t="b">
        <v>0</v>
      </c>
      <c r="O449" s="49" t="b">
        <v>1</v>
      </c>
      <c r="P449" s="57"/>
      <c r="Q449" s="49" t="b">
        <v>1</v>
      </c>
      <c r="R449" s="49" t="b">
        <v>1</v>
      </c>
      <c r="S449" s="15" t="b">
        <v>0</v>
      </c>
      <c r="T449" s="15" t="b">
        <v>0</v>
      </c>
      <c r="W449" s="14" t="s">
        <v>643</v>
      </c>
      <c r="X449" s="47"/>
      <c r="Y449" s="47"/>
      <c r="Z449" s="47"/>
      <c r="AA449" s="47"/>
      <c r="AB449" s="47"/>
      <c r="AC449" s="47"/>
      <c r="AD449" s="47"/>
      <c r="AE449" s="47"/>
      <c r="AF449" s="47"/>
      <c r="AG449" s="47"/>
      <c r="AH449" s="47"/>
      <c r="AI449" s="47"/>
      <c r="AJ449" s="47"/>
      <c r="AK449" s="47"/>
    </row>
    <row r="450" ht="17.25" customHeight="1">
      <c r="A450" s="47" t="s">
        <v>726</v>
      </c>
      <c r="B450" s="48" t="s">
        <v>72</v>
      </c>
      <c r="C450" s="47" t="s">
        <v>72</v>
      </c>
      <c r="D450" s="47" t="s">
        <v>122</v>
      </c>
      <c r="E450" s="47" t="s">
        <v>82</v>
      </c>
      <c r="F450" s="47" t="s">
        <v>86</v>
      </c>
      <c r="G450" s="47" t="s">
        <v>16</v>
      </c>
      <c r="H450" s="49" t="b">
        <v>0</v>
      </c>
      <c r="I450" s="49" t="b">
        <v>1</v>
      </c>
      <c r="J450" s="49"/>
      <c r="K450" s="49" t="b">
        <v>0</v>
      </c>
      <c r="L450" s="49" t="b">
        <v>0</v>
      </c>
      <c r="M450" s="49" t="b">
        <v>0</v>
      </c>
      <c r="N450" s="49" t="b">
        <v>0</v>
      </c>
      <c r="O450" s="49" t="b">
        <v>0</v>
      </c>
      <c r="P450" s="14" t="s">
        <v>23</v>
      </c>
      <c r="Q450" s="49" t="b">
        <v>0</v>
      </c>
      <c r="R450" s="49" t="b">
        <v>0</v>
      </c>
      <c r="S450" s="15" t="b">
        <v>0</v>
      </c>
      <c r="T450" s="15" t="b">
        <v>0</v>
      </c>
      <c r="U450" s="47"/>
      <c r="V450" s="47"/>
      <c r="W450" s="47"/>
      <c r="X450" s="47"/>
      <c r="Y450" s="47"/>
      <c r="Z450" s="47"/>
      <c r="AA450" s="47"/>
      <c r="AB450" s="47"/>
      <c r="AC450" s="47"/>
      <c r="AD450" s="47"/>
      <c r="AE450" s="47"/>
      <c r="AF450" s="47"/>
      <c r="AG450" s="47"/>
      <c r="AH450" s="47"/>
      <c r="AI450" s="47"/>
      <c r="AJ450" s="47"/>
      <c r="AK450" s="47"/>
    </row>
    <row r="451" ht="17.25" customHeight="1">
      <c r="A451" s="53" t="s">
        <v>727</v>
      </c>
      <c r="B451" s="48" t="s">
        <v>99</v>
      </c>
      <c r="C451" s="47" t="s">
        <v>95</v>
      </c>
      <c r="D451" s="47" t="s">
        <v>122</v>
      </c>
      <c r="E451" s="47" t="s">
        <v>82</v>
      </c>
      <c r="F451" s="47" t="s">
        <v>86</v>
      </c>
      <c r="G451" s="47" t="s">
        <v>11</v>
      </c>
      <c r="H451" s="49" t="b">
        <v>1</v>
      </c>
      <c r="I451" s="49" t="b">
        <v>0</v>
      </c>
      <c r="J451" s="49"/>
      <c r="K451" s="49" t="b">
        <v>1</v>
      </c>
      <c r="L451" s="49" t="b">
        <v>1</v>
      </c>
      <c r="M451" s="49" t="b">
        <v>0</v>
      </c>
      <c r="N451" s="49" t="b">
        <v>0</v>
      </c>
      <c r="O451" s="49" t="b">
        <v>0</v>
      </c>
      <c r="P451" s="14" t="s">
        <v>113</v>
      </c>
      <c r="Q451" s="49" t="b">
        <v>1</v>
      </c>
      <c r="R451" s="49" t="b">
        <v>1</v>
      </c>
      <c r="S451" s="15" t="b">
        <v>0</v>
      </c>
      <c r="T451" s="15" t="b">
        <v>0</v>
      </c>
      <c r="X451" s="47"/>
      <c r="Y451" s="47"/>
      <c r="Z451" s="47"/>
      <c r="AA451" s="47"/>
      <c r="AB451" s="47"/>
      <c r="AC451" s="47"/>
      <c r="AD451" s="47"/>
      <c r="AE451" s="47"/>
      <c r="AF451" s="47"/>
      <c r="AG451" s="47"/>
      <c r="AH451" s="47"/>
      <c r="AI451" s="47"/>
      <c r="AJ451" s="47"/>
      <c r="AK451" s="47"/>
    </row>
    <row r="452" ht="17.25" customHeight="1">
      <c r="A452" s="47" t="s">
        <v>728</v>
      </c>
      <c r="B452" s="48" t="s">
        <v>103</v>
      </c>
      <c r="C452" s="47" t="s">
        <v>103</v>
      </c>
      <c r="D452" s="47" t="s">
        <v>85</v>
      </c>
      <c r="E452" s="47" t="s">
        <v>82</v>
      </c>
      <c r="F452" s="47" t="s">
        <v>86</v>
      </c>
      <c r="G452" s="47" t="s">
        <v>10</v>
      </c>
      <c r="H452" s="49" t="b">
        <v>0</v>
      </c>
      <c r="I452" s="49" t="b">
        <v>0</v>
      </c>
      <c r="J452" s="49"/>
      <c r="K452" s="49" t="b">
        <v>0</v>
      </c>
      <c r="L452" s="49" t="b">
        <v>0</v>
      </c>
      <c r="M452" s="49" t="b">
        <v>0</v>
      </c>
      <c r="N452" s="49" t="b">
        <v>0</v>
      </c>
      <c r="O452" s="49" t="b">
        <v>0</v>
      </c>
      <c r="P452" s="14" t="s">
        <v>23</v>
      </c>
      <c r="Q452" s="49" t="b">
        <v>0</v>
      </c>
      <c r="R452" s="49" t="b">
        <v>0</v>
      </c>
      <c r="S452" s="15" t="b">
        <v>0</v>
      </c>
      <c r="T452" s="15" t="b">
        <v>0</v>
      </c>
      <c r="V452" s="14"/>
      <c r="W452" s="14"/>
      <c r="X452" s="47"/>
      <c r="Y452" s="47"/>
      <c r="Z452" s="47"/>
      <c r="AA452" s="47"/>
      <c r="AB452" s="47"/>
      <c r="AC452" s="47"/>
      <c r="AD452" s="47"/>
      <c r="AE452" s="47"/>
      <c r="AF452" s="47"/>
      <c r="AG452" s="47"/>
      <c r="AH452" s="47"/>
      <c r="AI452" s="47"/>
      <c r="AJ452" s="47"/>
      <c r="AK452" s="47"/>
    </row>
    <row r="453" ht="17.25" customHeight="1">
      <c r="A453" s="47" t="s">
        <v>729</v>
      </c>
      <c r="B453" s="48" t="s">
        <v>72</v>
      </c>
      <c r="C453" s="47" t="s">
        <v>72</v>
      </c>
      <c r="D453" s="47" t="s">
        <v>100</v>
      </c>
      <c r="E453" s="47" t="s">
        <v>75</v>
      </c>
      <c r="F453" s="47" t="s">
        <v>76</v>
      </c>
      <c r="G453" s="47" t="s">
        <v>16</v>
      </c>
      <c r="H453" s="49" t="b">
        <v>1</v>
      </c>
      <c r="I453" s="49" t="b">
        <v>0</v>
      </c>
      <c r="J453" s="49" t="b">
        <v>0</v>
      </c>
      <c r="K453" s="49" t="b">
        <v>1</v>
      </c>
      <c r="L453" s="49" t="b">
        <v>0</v>
      </c>
      <c r="M453" s="49" t="b">
        <v>1</v>
      </c>
      <c r="N453" s="49" t="b">
        <v>0</v>
      </c>
      <c r="O453" s="49" t="b">
        <v>0</v>
      </c>
      <c r="P453" s="14" t="s">
        <v>87</v>
      </c>
      <c r="Q453" s="49" t="b">
        <v>1</v>
      </c>
      <c r="R453" s="49" t="b">
        <v>1</v>
      </c>
      <c r="S453" s="15" t="b">
        <v>0</v>
      </c>
      <c r="T453" s="15" t="b">
        <v>0</v>
      </c>
      <c r="X453" s="47"/>
      <c r="Y453" s="47"/>
      <c r="Z453" s="47"/>
      <c r="AA453" s="47"/>
      <c r="AB453" s="47"/>
      <c r="AC453" s="47"/>
      <c r="AD453" s="47"/>
      <c r="AE453" s="47"/>
      <c r="AF453" s="47"/>
      <c r="AG453" s="47"/>
      <c r="AH453" s="47"/>
      <c r="AI453" s="47"/>
      <c r="AJ453" s="47"/>
      <c r="AK453" s="47"/>
    </row>
    <row r="454" ht="17.25" customHeight="1">
      <c r="A454" s="47" t="s">
        <v>730</v>
      </c>
      <c r="B454" s="48" t="s">
        <v>72</v>
      </c>
      <c r="C454" s="47" t="s">
        <v>72</v>
      </c>
      <c r="D454" s="47" t="s">
        <v>90</v>
      </c>
      <c r="E454" s="47" t="s">
        <v>75</v>
      </c>
      <c r="F454" s="47" t="s">
        <v>86</v>
      </c>
      <c r="G454" s="47" t="s">
        <v>8</v>
      </c>
      <c r="H454" s="49" t="b">
        <v>1</v>
      </c>
      <c r="I454" s="49" t="b">
        <v>0</v>
      </c>
      <c r="J454" s="49"/>
      <c r="K454" s="49" t="b">
        <v>1</v>
      </c>
      <c r="L454" s="49" t="b">
        <v>1</v>
      </c>
      <c r="M454" s="49" t="b">
        <v>0</v>
      </c>
      <c r="N454" s="49" t="b">
        <v>0</v>
      </c>
      <c r="O454" s="49" t="b">
        <v>0</v>
      </c>
      <c r="P454" s="14" t="s">
        <v>78</v>
      </c>
      <c r="Q454" s="49" t="b">
        <v>0</v>
      </c>
      <c r="R454" s="49" t="b">
        <v>0</v>
      </c>
      <c r="S454" s="15" t="b">
        <v>0</v>
      </c>
      <c r="T454" s="15" t="b">
        <v>0</v>
      </c>
      <c r="W454" s="14" t="s">
        <v>731</v>
      </c>
      <c r="X454" s="47"/>
      <c r="Y454" s="47"/>
      <c r="Z454" s="47"/>
      <c r="AA454" s="47"/>
      <c r="AB454" s="47"/>
      <c r="AC454" s="47"/>
      <c r="AD454" s="47"/>
      <c r="AE454" s="47"/>
      <c r="AF454" s="47"/>
      <c r="AG454" s="47"/>
      <c r="AH454" s="47"/>
      <c r="AI454" s="47"/>
      <c r="AJ454" s="47"/>
      <c r="AK454" s="47"/>
    </row>
    <row r="455" ht="17.25" customHeight="1">
      <c r="A455" s="47" t="s">
        <v>732</v>
      </c>
      <c r="B455" s="48" t="s">
        <v>80</v>
      </c>
      <c r="C455" s="47" t="s">
        <v>73</v>
      </c>
      <c r="D455" s="47" t="s">
        <v>100</v>
      </c>
      <c r="E455" s="47" t="s">
        <v>82</v>
      </c>
      <c r="F455" s="47" t="s">
        <v>86</v>
      </c>
      <c r="G455" s="47" t="s">
        <v>15</v>
      </c>
      <c r="H455" s="49" t="b">
        <v>1</v>
      </c>
      <c r="I455" s="49" t="b">
        <v>0</v>
      </c>
      <c r="J455" s="49"/>
      <c r="K455" s="49" t="b">
        <v>1</v>
      </c>
      <c r="L455" s="49" t="b">
        <v>1</v>
      </c>
      <c r="M455" s="49" t="b">
        <v>0</v>
      </c>
      <c r="N455" s="49" t="b">
        <v>0</v>
      </c>
      <c r="O455" s="49" t="b">
        <v>0</v>
      </c>
      <c r="P455" s="14" t="s">
        <v>87</v>
      </c>
      <c r="Q455" s="49" t="b">
        <v>0</v>
      </c>
      <c r="R455" s="49" t="b">
        <v>1</v>
      </c>
      <c r="S455" s="15" t="b">
        <v>0</v>
      </c>
      <c r="T455" s="15" t="b">
        <v>0</v>
      </c>
      <c r="W455" s="14" t="s">
        <v>733</v>
      </c>
      <c r="X455" s="47"/>
      <c r="Y455" s="47"/>
      <c r="Z455" s="47"/>
      <c r="AA455" s="47"/>
      <c r="AB455" s="47"/>
      <c r="AC455" s="47"/>
      <c r="AD455" s="47"/>
      <c r="AE455" s="47"/>
      <c r="AF455" s="47"/>
      <c r="AG455" s="47"/>
      <c r="AH455" s="47"/>
      <c r="AI455" s="47"/>
      <c r="AJ455" s="47"/>
      <c r="AK455" s="47"/>
    </row>
    <row r="456" ht="17.25" customHeight="1">
      <c r="A456" s="53" t="s">
        <v>734</v>
      </c>
      <c r="B456" s="48" t="s">
        <v>94</v>
      </c>
      <c r="C456" s="47" t="s">
        <v>95</v>
      </c>
      <c r="D456" s="47" t="s">
        <v>205</v>
      </c>
      <c r="E456" s="47" t="s">
        <v>101</v>
      </c>
      <c r="F456" s="47" t="s">
        <v>86</v>
      </c>
      <c r="G456" s="47" t="s">
        <v>11</v>
      </c>
      <c r="H456" s="49" t="b">
        <v>1</v>
      </c>
      <c r="I456" s="49" t="b">
        <v>0</v>
      </c>
      <c r="J456" s="49"/>
      <c r="K456" s="49" t="b">
        <v>0</v>
      </c>
      <c r="L456" s="49" t="b">
        <v>0</v>
      </c>
      <c r="M456" s="49" t="b">
        <v>0</v>
      </c>
      <c r="N456" s="49" t="b">
        <v>0</v>
      </c>
      <c r="O456" s="49" t="b">
        <v>0</v>
      </c>
      <c r="P456" s="14" t="s">
        <v>113</v>
      </c>
      <c r="Q456" s="49" t="b">
        <v>1</v>
      </c>
      <c r="R456" s="49" t="b">
        <v>1</v>
      </c>
      <c r="S456" s="15" t="b">
        <v>0</v>
      </c>
      <c r="T456" s="15" t="b">
        <v>0</v>
      </c>
      <c r="W456" s="14" t="s">
        <v>735</v>
      </c>
      <c r="X456" s="47"/>
      <c r="Y456" s="47"/>
      <c r="Z456" s="47"/>
      <c r="AA456" s="47"/>
      <c r="AB456" s="47"/>
      <c r="AC456" s="47"/>
      <c r="AD456" s="47"/>
      <c r="AE456" s="47"/>
      <c r="AF456" s="47"/>
      <c r="AG456" s="47"/>
      <c r="AH456" s="47"/>
      <c r="AI456" s="47"/>
      <c r="AJ456" s="47"/>
      <c r="AK456" s="47"/>
    </row>
    <row r="457" ht="17.25" customHeight="1">
      <c r="A457" s="47" t="s">
        <v>736</v>
      </c>
      <c r="B457" s="48" t="s">
        <v>166</v>
      </c>
      <c r="C457" s="47" t="s">
        <v>95</v>
      </c>
      <c r="D457" s="47" t="s">
        <v>85</v>
      </c>
      <c r="E457" s="47" t="s">
        <v>101</v>
      </c>
      <c r="F457" s="47" t="s">
        <v>86</v>
      </c>
      <c r="G457" s="47" t="s">
        <v>10</v>
      </c>
      <c r="H457" s="49" t="b">
        <v>1</v>
      </c>
      <c r="I457" s="49" t="b">
        <v>0</v>
      </c>
      <c r="J457" s="49"/>
      <c r="K457" s="49" t="b">
        <v>0</v>
      </c>
      <c r="L457" s="49" t="b">
        <v>0</v>
      </c>
      <c r="M457" s="49" t="b">
        <v>0</v>
      </c>
      <c r="N457" s="49" t="b">
        <v>0</v>
      </c>
      <c r="O457" s="49" t="b">
        <v>0</v>
      </c>
      <c r="P457" s="14" t="s">
        <v>113</v>
      </c>
      <c r="Q457" s="49" t="b">
        <v>0</v>
      </c>
      <c r="R457" s="49" t="b">
        <v>0</v>
      </c>
      <c r="S457" s="15" t="b">
        <v>0</v>
      </c>
      <c r="T457" s="15" t="b">
        <v>0</v>
      </c>
      <c r="X457" s="47"/>
      <c r="Y457" s="47"/>
      <c r="Z457" s="47"/>
      <c r="AA457" s="47"/>
      <c r="AB457" s="47"/>
      <c r="AC457" s="47"/>
      <c r="AD457" s="47"/>
      <c r="AE457" s="47"/>
      <c r="AF457" s="47"/>
      <c r="AG457" s="47"/>
      <c r="AH457" s="47"/>
      <c r="AI457" s="47"/>
      <c r="AJ457" s="47"/>
      <c r="AK457" s="47"/>
    </row>
    <row r="458" ht="17.25" customHeight="1">
      <c r="A458" s="47" t="s">
        <v>737</v>
      </c>
      <c r="B458" s="48" t="s">
        <v>738</v>
      </c>
      <c r="C458" s="47" t="s">
        <v>84</v>
      </c>
      <c r="D458" s="47" t="s">
        <v>100</v>
      </c>
      <c r="E458" s="47" t="s">
        <v>101</v>
      </c>
      <c r="F458" s="47" t="s">
        <v>76</v>
      </c>
      <c r="G458" s="47" t="s">
        <v>15</v>
      </c>
      <c r="H458" s="49" t="b">
        <v>0</v>
      </c>
      <c r="I458" s="49" t="b">
        <v>0</v>
      </c>
      <c r="J458" s="49" t="s">
        <v>442</v>
      </c>
      <c r="K458" s="49" t="b">
        <v>0</v>
      </c>
      <c r="L458" s="49" t="b">
        <v>0</v>
      </c>
      <c r="M458" s="49" t="b">
        <v>0</v>
      </c>
      <c r="N458" s="49" t="b">
        <v>0</v>
      </c>
      <c r="O458" s="49" t="b">
        <v>0</v>
      </c>
      <c r="P458" s="14" t="s">
        <v>87</v>
      </c>
      <c r="Q458" s="49" t="b">
        <v>0</v>
      </c>
      <c r="R458" s="49" t="b">
        <v>0</v>
      </c>
      <c r="S458" s="15" t="b">
        <v>0</v>
      </c>
      <c r="T458" s="15" t="b">
        <v>0</v>
      </c>
      <c r="U458" s="47" t="s">
        <v>215</v>
      </c>
      <c r="V458" s="47"/>
      <c r="W458" s="47" t="s">
        <v>739</v>
      </c>
      <c r="X458" s="47"/>
      <c r="Y458" s="47"/>
      <c r="Z458" s="47"/>
      <c r="AA458" s="47"/>
      <c r="AB458" s="47"/>
      <c r="AC458" s="47"/>
      <c r="AD458" s="47"/>
      <c r="AE458" s="47"/>
      <c r="AF458" s="47"/>
      <c r="AG458" s="47"/>
      <c r="AH458" s="47"/>
      <c r="AI458" s="47"/>
      <c r="AJ458" s="47"/>
      <c r="AK458" s="47"/>
    </row>
    <row r="459" ht="17.25" customHeight="1">
      <c r="A459" s="58" t="s">
        <v>740</v>
      </c>
      <c r="B459" s="48" t="s">
        <v>80</v>
      </c>
      <c r="C459" s="48" t="s">
        <v>84</v>
      </c>
      <c r="D459" s="47" t="s">
        <v>90</v>
      </c>
      <c r="E459" s="47" t="s">
        <v>75</v>
      </c>
      <c r="F459" s="47" t="s">
        <v>86</v>
      </c>
      <c r="G459" s="47" t="s">
        <v>16</v>
      </c>
      <c r="H459" s="49" t="b">
        <v>0</v>
      </c>
      <c r="I459" s="49" t="b">
        <v>1</v>
      </c>
      <c r="J459" s="49" t="b">
        <v>0</v>
      </c>
      <c r="K459" s="49" t="b">
        <v>0</v>
      </c>
      <c r="L459" s="49" t="b">
        <v>0</v>
      </c>
      <c r="M459" s="49" t="b">
        <v>0</v>
      </c>
      <c r="N459" s="49" t="b">
        <v>0</v>
      </c>
      <c r="O459" s="49" t="b">
        <v>0</v>
      </c>
      <c r="P459" s="14" t="s">
        <v>87</v>
      </c>
      <c r="Q459" s="49" t="b">
        <v>0</v>
      </c>
      <c r="R459" s="49" t="b">
        <v>0</v>
      </c>
      <c r="S459" s="14" t="b">
        <v>0</v>
      </c>
      <c r="T459" s="14" t="b">
        <v>0</v>
      </c>
      <c r="V459" s="47"/>
      <c r="W459" s="47"/>
      <c r="X459" s="47"/>
      <c r="Y459" s="47"/>
      <c r="Z459" s="47"/>
      <c r="AA459" s="47"/>
      <c r="AB459" s="47"/>
      <c r="AC459" s="47"/>
      <c r="AD459" s="47"/>
      <c r="AE459" s="47"/>
      <c r="AF459" s="47"/>
      <c r="AG459" s="47"/>
      <c r="AH459" s="47"/>
      <c r="AI459" s="47"/>
      <c r="AJ459" s="47"/>
      <c r="AK459" s="47"/>
    </row>
    <row r="460" ht="17.25" customHeight="1">
      <c r="A460" s="50" t="s">
        <v>741</v>
      </c>
      <c r="B460" s="48" t="s">
        <v>72</v>
      </c>
      <c r="C460" s="48" t="s">
        <v>72</v>
      </c>
      <c r="D460" s="47" t="s">
        <v>74</v>
      </c>
      <c r="E460" s="47" t="s">
        <v>96</v>
      </c>
      <c r="F460" s="47" t="s">
        <v>76</v>
      </c>
      <c r="G460" s="47" t="s">
        <v>21</v>
      </c>
      <c r="H460" s="49" t="b">
        <v>0</v>
      </c>
      <c r="I460" s="49" t="b">
        <v>0</v>
      </c>
      <c r="J460" s="49"/>
      <c r="K460" s="49" t="b">
        <v>0</v>
      </c>
      <c r="L460" s="49" t="b">
        <v>0</v>
      </c>
      <c r="M460" s="49" t="b">
        <v>1</v>
      </c>
      <c r="N460" s="49"/>
      <c r="O460" s="49" t="b">
        <v>0</v>
      </c>
      <c r="P460" s="57"/>
      <c r="Q460" s="49" t="b">
        <v>0</v>
      </c>
      <c r="R460" s="49" t="b">
        <v>1</v>
      </c>
      <c r="S460" s="15" t="b">
        <v>0</v>
      </c>
      <c r="T460" s="15" t="b">
        <v>0</v>
      </c>
      <c r="W460" s="14" t="s">
        <v>498</v>
      </c>
      <c r="X460" s="47"/>
      <c r="Y460" s="47"/>
      <c r="Z460" s="47"/>
      <c r="AA460" s="47"/>
      <c r="AB460" s="47"/>
      <c r="AC460" s="47"/>
      <c r="AD460" s="47"/>
      <c r="AE460" s="47"/>
      <c r="AF460" s="47"/>
      <c r="AG460" s="47"/>
      <c r="AH460" s="47"/>
      <c r="AI460" s="47"/>
      <c r="AJ460" s="47"/>
      <c r="AK460" s="47"/>
    </row>
    <row r="461" ht="17.25" customHeight="1">
      <c r="A461" s="47" t="s">
        <v>742</v>
      </c>
      <c r="B461" s="48" t="s">
        <v>743</v>
      </c>
      <c r="C461" s="47" t="s">
        <v>73</v>
      </c>
      <c r="D461" s="47" t="s">
        <v>74</v>
      </c>
      <c r="E461" s="47" t="s">
        <v>75</v>
      </c>
      <c r="F461" s="47" t="s">
        <v>76</v>
      </c>
      <c r="G461" s="47" t="s">
        <v>16</v>
      </c>
      <c r="H461" s="49" t="b">
        <v>0</v>
      </c>
      <c r="I461" s="49" t="b">
        <v>1</v>
      </c>
      <c r="J461" s="49" t="b">
        <v>1</v>
      </c>
      <c r="K461" s="49" t="b">
        <v>0</v>
      </c>
      <c r="L461" s="49" t="b">
        <v>0</v>
      </c>
      <c r="M461" s="49" t="b">
        <v>1</v>
      </c>
      <c r="N461" s="49" t="b">
        <v>0</v>
      </c>
      <c r="O461" s="49" t="b">
        <v>0</v>
      </c>
      <c r="P461" s="14" t="s">
        <v>87</v>
      </c>
      <c r="Q461" s="49" t="b">
        <v>0</v>
      </c>
      <c r="R461" s="49" t="b">
        <v>0</v>
      </c>
      <c r="S461" s="15" t="b">
        <v>0</v>
      </c>
      <c r="T461" s="15" t="b">
        <v>0</v>
      </c>
      <c r="U461" s="47"/>
      <c r="V461" s="47"/>
      <c r="W461" s="47" t="s">
        <v>744</v>
      </c>
      <c r="X461" s="47"/>
      <c r="Y461" s="47"/>
      <c r="Z461" s="47"/>
      <c r="AA461" s="47"/>
      <c r="AB461" s="47"/>
      <c r="AC461" s="47"/>
      <c r="AD461" s="47"/>
      <c r="AE461" s="47"/>
      <c r="AF461" s="47"/>
      <c r="AG461" s="47"/>
      <c r="AH461" s="47"/>
      <c r="AI461" s="47"/>
      <c r="AJ461" s="47"/>
      <c r="AK461" s="47"/>
    </row>
    <row r="462" ht="17.25" customHeight="1">
      <c r="A462" s="50" t="s">
        <v>745</v>
      </c>
      <c r="B462" s="48" t="s">
        <v>72</v>
      </c>
      <c r="C462" s="48" t="s">
        <v>72</v>
      </c>
      <c r="D462" s="47" t="s">
        <v>85</v>
      </c>
      <c r="E462" s="47" t="s">
        <v>96</v>
      </c>
      <c r="F462" s="47" t="s">
        <v>86</v>
      </c>
      <c r="G462" s="47" t="s">
        <v>21</v>
      </c>
      <c r="H462" s="49" t="b">
        <v>0</v>
      </c>
      <c r="I462" s="49" t="b">
        <v>0</v>
      </c>
      <c r="J462" s="49"/>
      <c r="K462" s="49" t="b">
        <v>0</v>
      </c>
      <c r="L462" s="49" t="b">
        <v>0</v>
      </c>
      <c r="M462" s="49" t="b">
        <v>0</v>
      </c>
      <c r="N462" s="49" t="b">
        <v>0</v>
      </c>
      <c r="O462" s="49" t="b">
        <v>0</v>
      </c>
      <c r="P462" s="14" t="s">
        <v>23</v>
      </c>
      <c r="Q462" s="49" t="b">
        <v>0</v>
      </c>
      <c r="R462" s="49" t="b">
        <v>0</v>
      </c>
      <c r="S462" s="15" t="b">
        <v>0</v>
      </c>
      <c r="T462" s="15" t="b">
        <v>0</v>
      </c>
      <c r="V462" s="47"/>
      <c r="W462" s="47"/>
      <c r="X462" s="47"/>
      <c r="Y462" s="47"/>
      <c r="Z462" s="47"/>
      <c r="AA462" s="47"/>
      <c r="AB462" s="47"/>
      <c r="AC462" s="47"/>
      <c r="AD462" s="47"/>
      <c r="AE462" s="47"/>
      <c r="AF462" s="47"/>
      <c r="AG462" s="47"/>
      <c r="AH462" s="47"/>
      <c r="AI462" s="47"/>
      <c r="AJ462" s="47"/>
      <c r="AK462" s="47"/>
    </row>
    <row r="463" ht="17.25" customHeight="1">
      <c r="A463" s="47" t="s">
        <v>746</v>
      </c>
      <c r="B463" s="48" t="s">
        <v>103</v>
      </c>
      <c r="C463" s="48" t="s">
        <v>103</v>
      </c>
      <c r="D463" s="47" t="s">
        <v>100</v>
      </c>
      <c r="E463" s="47" t="s">
        <v>82</v>
      </c>
      <c r="F463" s="47" t="s">
        <v>76</v>
      </c>
      <c r="G463" s="47" t="s">
        <v>10</v>
      </c>
      <c r="H463" s="49" t="b">
        <v>1</v>
      </c>
      <c r="I463" s="49" t="b">
        <v>0</v>
      </c>
      <c r="J463" s="49"/>
      <c r="K463" s="49" t="b">
        <v>1</v>
      </c>
      <c r="L463" s="49" t="b">
        <v>1</v>
      </c>
      <c r="M463" s="49" t="b">
        <v>1</v>
      </c>
      <c r="N463" s="49" t="b">
        <v>0</v>
      </c>
      <c r="O463" s="49" t="b">
        <v>0</v>
      </c>
      <c r="P463" s="14" t="s">
        <v>113</v>
      </c>
      <c r="Q463" s="49" t="b">
        <v>1</v>
      </c>
      <c r="R463" s="49" t="b">
        <v>1</v>
      </c>
      <c r="S463" s="14" t="b">
        <v>1</v>
      </c>
      <c r="T463" s="14" t="b">
        <v>1</v>
      </c>
      <c r="V463" s="47"/>
      <c r="W463" s="47"/>
      <c r="X463" s="47"/>
      <c r="Y463" s="47"/>
      <c r="Z463" s="47"/>
      <c r="AA463" s="47"/>
      <c r="AB463" s="47"/>
      <c r="AC463" s="47"/>
      <c r="AD463" s="47"/>
      <c r="AE463" s="47"/>
      <c r="AF463" s="47"/>
      <c r="AG463" s="47"/>
      <c r="AH463" s="47"/>
      <c r="AI463" s="47"/>
      <c r="AJ463" s="47"/>
      <c r="AK463" s="47"/>
    </row>
    <row r="464" ht="17.25" customHeight="1">
      <c r="A464" s="47"/>
      <c r="B464" s="48"/>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row>
    <row r="465" ht="17.25" customHeight="1">
      <c r="A465" s="47"/>
      <c r="B465" s="48"/>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row>
    <row r="466" ht="17.25" customHeight="1">
      <c r="A466" s="47"/>
      <c r="B466" s="48"/>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row>
    <row r="467" ht="17.25" customHeight="1">
      <c r="A467" s="47"/>
      <c r="B467" s="48"/>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row>
    <row r="468" ht="17.25" customHeight="1">
      <c r="A468" s="47"/>
      <c r="B468" s="48"/>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row>
    <row r="469" ht="17.25" customHeight="1">
      <c r="A469" s="47"/>
      <c r="B469" s="48"/>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row>
    <row r="470" ht="17.25" customHeight="1">
      <c r="A470" s="47"/>
      <c r="B470" s="48"/>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row>
    <row r="471" ht="17.25" customHeight="1">
      <c r="A471" s="47"/>
      <c r="B471" s="48"/>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row>
    <row r="472" ht="17.25" customHeight="1">
      <c r="A472" s="47"/>
      <c r="B472" s="48"/>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row>
    <row r="473" ht="17.25" customHeight="1">
      <c r="A473" s="47"/>
      <c r="B473" s="48"/>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row>
    <row r="474" ht="17.25" customHeight="1">
      <c r="A474" s="47"/>
      <c r="B474" s="48"/>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row>
    <row r="475" ht="17.25" customHeight="1">
      <c r="A475" s="47"/>
      <c r="B475" s="48"/>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row>
    <row r="476" ht="17.25" customHeight="1">
      <c r="A476" s="47"/>
      <c r="B476" s="48"/>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row>
    <row r="477" ht="17.25" customHeight="1">
      <c r="A477" s="47"/>
      <c r="B477" s="48"/>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row>
    <row r="478" ht="17.25" customHeight="1">
      <c r="A478" s="47"/>
      <c r="B478" s="48"/>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row>
    <row r="479" ht="17.25" customHeight="1">
      <c r="A479" s="47"/>
      <c r="B479" s="48"/>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row>
    <row r="480" ht="17.25" customHeight="1">
      <c r="A480" s="47"/>
      <c r="B480" s="48"/>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row>
    <row r="481" ht="17.25" customHeight="1">
      <c r="A481" s="47"/>
      <c r="B481" s="48"/>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row>
    <row r="482" ht="17.25" customHeight="1">
      <c r="A482" s="47"/>
      <c r="B482" s="48"/>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row>
    <row r="483" ht="17.25" customHeight="1">
      <c r="A483" s="47"/>
      <c r="B483" s="48"/>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row>
    <row r="484" ht="17.25" customHeight="1">
      <c r="A484" s="47"/>
      <c r="B484" s="48"/>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row>
    <row r="485" ht="17.25" customHeight="1">
      <c r="A485" s="47"/>
      <c r="B485" s="48"/>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row>
    <row r="486" ht="17.25" customHeight="1">
      <c r="A486" s="47"/>
      <c r="B486" s="48"/>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row>
    <row r="487" ht="17.25" customHeight="1">
      <c r="A487" s="47"/>
      <c r="B487" s="48"/>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row>
    <row r="488" ht="17.25" customHeight="1">
      <c r="A488" s="47"/>
      <c r="B488" s="48"/>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row>
    <row r="489" ht="17.25" customHeight="1">
      <c r="A489" s="47"/>
      <c r="B489" s="48"/>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row>
    <row r="490" ht="17.25" customHeight="1">
      <c r="A490" s="47"/>
      <c r="B490" s="48"/>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row>
    <row r="491" ht="17.25" customHeight="1">
      <c r="A491" s="47"/>
      <c r="B491" s="48"/>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row>
    <row r="492" ht="17.25" customHeight="1">
      <c r="A492" s="47"/>
      <c r="B492" s="48"/>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row>
    <row r="493" ht="17.25" customHeight="1">
      <c r="A493" s="47"/>
      <c r="B493" s="48"/>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row>
    <row r="494" ht="17.25" customHeight="1">
      <c r="A494" s="47"/>
      <c r="B494" s="48"/>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row>
    <row r="495" ht="17.25" customHeight="1">
      <c r="A495" s="47"/>
      <c r="B495" s="48"/>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row>
    <row r="496" ht="17.25" customHeight="1">
      <c r="A496" s="47"/>
      <c r="B496" s="48"/>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row>
    <row r="497" ht="17.25" customHeight="1">
      <c r="A497" s="47"/>
      <c r="B497" s="48"/>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row>
    <row r="498" ht="17.25" customHeight="1">
      <c r="A498" s="47"/>
      <c r="B498" s="48"/>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row>
    <row r="499" ht="17.25" customHeight="1">
      <c r="A499" s="47"/>
      <c r="B499" s="48"/>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row>
    <row r="500" ht="17.25" customHeight="1">
      <c r="A500" s="47"/>
      <c r="B500" s="48"/>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row>
    <row r="501" ht="17.25" customHeight="1">
      <c r="A501" s="47"/>
      <c r="B501" s="48"/>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row>
    <row r="502" ht="17.25" customHeight="1">
      <c r="A502" s="47"/>
      <c r="B502" s="48"/>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row>
    <row r="503" ht="17.25" customHeight="1">
      <c r="A503" s="47"/>
      <c r="B503" s="48"/>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row>
    <row r="504" ht="17.25" customHeight="1">
      <c r="A504" s="47"/>
      <c r="B504" s="48"/>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row>
    <row r="505" ht="17.25" customHeight="1">
      <c r="A505" s="47"/>
      <c r="B505" s="48"/>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row>
    <row r="506" ht="17.25" customHeight="1">
      <c r="A506" s="47"/>
      <c r="B506" s="48"/>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row>
    <row r="507" ht="17.25" customHeight="1">
      <c r="A507" s="47"/>
      <c r="B507" s="48"/>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row>
    <row r="508" ht="17.25" customHeight="1">
      <c r="A508" s="47"/>
      <c r="B508" s="48"/>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row>
    <row r="509" ht="17.25" customHeight="1">
      <c r="A509" s="47"/>
      <c r="B509" s="48"/>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row>
    <row r="510" ht="17.25" customHeight="1">
      <c r="A510" s="47"/>
      <c r="B510" s="48"/>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row>
    <row r="511" ht="17.25" customHeight="1">
      <c r="A511" s="47"/>
      <c r="B511" s="48"/>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row>
    <row r="512" ht="17.25" customHeight="1">
      <c r="A512" s="47"/>
      <c r="B512" s="48"/>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row>
    <row r="513" ht="17.25" customHeight="1">
      <c r="A513" s="47"/>
      <c r="B513" s="48"/>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row>
    <row r="514" ht="17.25" customHeight="1">
      <c r="A514" s="47"/>
      <c r="B514" s="48"/>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row>
    <row r="515" ht="17.25" customHeight="1">
      <c r="A515" s="47"/>
      <c r="B515" s="48"/>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row>
    <row r="516" ht="17.25" customHeight="1">
      <c r="A516" s="47"/>
      <c r="B516" s="48"/>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row>
    <row r="517" ht="17.25" customHeight="1">
      <c r="A517" s="47"/>
      <c r="B517" s="48"/>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row>
    <row r="518" ht="17.25" customHeight="1">
      <c r="A518" s="47"/>
      <c r="B518" s="48"/>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row>
    <row r="519" ht="17.25" customHeight="1">
      <c r="A519" s="47"/>
      <c r="B519" s="48"/>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row>
    <row r="520" ht="17.25" customHeight="1">
      <c r="A520" s="47"/>
      <c r="B520" s="48"/>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row>
    <row r="521" ht="17.25" customHeight="1">
      <c r="A521" s="47"/>
      <c r="B521" s="48"/>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row>
    <row r="522" ht="17.25" customHeight="1">
      <c r="A522" s="47"/>
      <c r="B522" s="48"/>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row>
    <row r="523" ht="17.25" customHeight="1">
      <c r="A523" s="47"/>
      <c r="B523" s="48"/>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row>
    <row r="524" ht="17.25" customHeight="1">
      <c r="A524" s="47"/>
      <c r="B524" s="48"/>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row>
    <row r="525" ht="17.25" customHeight="1">
      <c r="A525" s="47"/>
      <c r="B525" s="48"/>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row>
    <row r="526" ht="17.25" customHeight="1">
      <c r="A526" s="47"/>
      <c r="B526" s="48"/>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row>
    <row r="527" ht="17.25" customHeight="1">
      <c r="A527" s="47"/>
      <c r="B527" s="48"/>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row>
    <row r="528" ht="17.25" customHeight="1">
      <c r="A528" s="47"/>
      <c r="B528" s="48"/>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row>
    <row r="529" ht="17.25" customHeight="1">
      <c r="A529" s="47"/>
      <c r="B529" s="48"/>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row>
    <row r="530" ht="17.25" customHeight="1">
      <c r="A530" s="47"/>
      <c r="B530" s="48"/>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row>
    <row r="531" ht="17.25" customHeight="1">
      <c r="A531" s="47"/>
      <c r="B531" s="48"/>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row>
    <row r="532" ht="17.25" customHeight="1">
      <c r="A532" s="47"/>
      <c r="B532" s="48"/>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row>
    <row r="533" ht="17.25" customHeight="1">
      <c r="A533" s="47"/>
      <c r="B533" s="48"/>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row>
    <row r="534" ht="17.25" customHeight="1">
      <c r="A534" s="47"/>
      <c r="B534" s="48"/>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row>
    <row r="535" ht="17.25" customHeight="1">
      <c r="A535" s="47"/>
      <c r="B535" s="48"/>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row>
    <row r="536" ht="17.25" customHeight="1">
      <c r="A536" s="47"/>
      <c r="B536" s="48"/>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row>
    <row r="537" ht="17.25" customHeight="1">
      <c r="A537" s="47"/>
      <c r="B537" s="48"/>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row>
    <row r="538" ht="17.25" customHeight="1">
      <c r="A538" s="47"/>
      <c r="B538" s="48"/>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row>
    <row r="539" ht="17.25" customHeight="1">
      <c r="A539" s="47"/>
      <c r="B539" s="48"/>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row>
    <row r="540" ht="17.25" customHeight="1">
      <c r="A540" s="47"/>
      <c r="B540" s="48"/>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row>
    <row r="541" ht="17.25" customHeight="1">
      <c r="A541" s="47"/>
      <c r="B541" s="48"/>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row>
    <row r="542" ht="17.25" customHeight="1">
      <c r="A542" s="47"/>
      <c r="B542" s="48"/>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row>
    <row r="543" ht="17.25" customHeight="1">
      <c r="A543" s="47"/>
      <c r="B543" s="48"/>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row>
    <row r="544" ht="17.25" customHeight="1">
      <c r="A544" s="47"/>
      <c r="B544" s="48"/>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row>
    <row r="545" ht="17.25" customHeight="1">
      <c r="A545" s="47"/>
      <c r="B545" s="48"/>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row>
    <row r="546" ht="17.25" customHeight="1">
      <c r="A546" s="47"/>
      <c r="B546" s="48"/>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row>
    <row r="547" ht="17.25" customHeight="1">
      <c r="A547" s="47"/>
      <c r="B547" s="48"/>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row>
    <row r="548" ht="17.25" customHeight="1">
      <c r="A548" s="47"/>
      <c r="B548" s="48"/>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row>
    <row r="549" ht="17.25" customHeight="1">
      <c r="A549" s="47"/>
      <c r="B549" s="48"/>
      <c r="C549" s="48"/>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row>
  </sheetData>
  <autoFilter ref="$A$1:$W$463">
    <sortState ref="A1:W463">
      <sortCondition ref="A1:A463"/>
    </sortState>
  </autoFilter>
  <customSheetViews>
    <customSheetView guid="{F9081E3E-31D5-42DE-94EA-8CFDD2108A0B}" filter="1" showAutoFilter="1">
      <autoFilter ref="$A$1:$W$463"/>
    </customSheetView>
    <customSheetView guid="{625C91E8-95AA-4F87-B4D7-DBE08AC842CD}" filter="1" showAutoFilter="1">
      <autoFilter ref="$A$1:$AK$297">
        <filterColumn colId="0">
          <filters>
            <filter val="Monext"/>
            <filter val="Fiserv BR"/>
            <filter val="Gatekeeperx"/>
            <filter val="Baaskit"/>
            <filter val="Colibrix"/>
            <filter val="Epag"/>
            <filter val="PagSmile"/>
            <filter val="Checkout"/>
            <filter val="Fintoc"/>
            <filter val="Digitnite"/>
            <filter val="B2E"/>
            <filter val="Mobbex"/>
            <filter val="Geidea"/>
            <filter val="Banco do Brasil"/>
            <filter val="bKash"/>
            <filter val="Cybersource"/>
            <filter val="OpenPay Peru"/>
            <filter val="Nuvei LATAM"/>
            <filter val="GMO"/>
            <filter val="Apple Pay"/>
            <filter val="Discover"/>
            <filter val="Konduto"/>
            <filter val="Mastercard MENA"/>
            <filter val="Conduit"/>
            <filter val="LinePay"/>
            <filter val="Elavon, Inc."/>
            <filter val="Creditop"/>
            <filter val="Fiserv Uruguay"/>
            <filter val="Datransfer"/>
            <filter val="Monnet Payments"/>
            <filter val="FinFan"/>
            <filter val="Coinpayments"/>
            <filter val="HSBC BR"/>
            <filter val="Do Payments"/>
            <filter val="OpenNode"/>
            <filter val="PagBrasil"/>
            <filter val="Adiq Pagamentos"/>
            <filter val="Kount (Equifax)"/>
            <filter val="C6"/>
            <filter val="Garanti BBVA Bank"/>
            <filter val="Binance Pay"/>
            <filter val="Clearbank"/>
            <filter val="Ecommpay"/>
            <filter val="CoinFlow"/>
            <filter val="Bancard"/>
            <filter val="OpenPay Colombia"/>
            <filter val="Kinetic"/>
            <filter val="Ebury"/>
            <filter val="Coppel Pay"/>
            <filter val="f"/>
            <filter val="CommerceGate"/>
            <filter val="BBVA México"/>
            <filter val="CoinSub"/>
            <filter val="Epoch"/>
            <filter val="Ecobank"/>
            <filter val="Barte"/>
            <filter val="Dock"/>
            <filter val="More Payments / Uniteller"/>
            <filter val="Edenred BR"/>
            <filter val="Fuze"/>
            <filter val="Adyen"/>
            <filter val="Onafriq"/>
            <filter val="PagoPar"/>
            <filter val="Livelo Pay"/>
            <filter val="Accertify"/>
            <filter val="Banco Genial"/>
            <filter val="Einpays"/>
            <filter val="Banco Santander (Brasil) S.A."/>
            <filter val="Confirmo"/>
            <filter val="Elo"/>
            <filter val="ETPay"/>
            <filter val="ClearSale LATAM"/>
            <filter val="DGFT"/>
            <filter val="Hecto Financial"/>
            <filter val="NTTD"/>
            <filter val="Bayonet.io"/>
            <filter val="Cumbuca"/>
            <filter val="Local Payment"/>
            <filter val="Mastercard BR"/>
            <filter val="Banco Galicia / Nave"/>
            <filter val="Circle"/>
            <filter val="Justt"/>
            <filter val="Checkout MENA"/>
            <filter val="Alelo Brasil"/>
            <filter val="MetropolCard"/>
            <filter val="Opn Payments (Omise)"/>
            <filter val="Novalnet"/>
            <filter val="JP Morgan chase APAC"/>
            <filter val="ClearSale BR"/>
            <filter val="Azul"/>
            <filter val="LatamGateway"/>
            <filter val="Au10tix"/>
            <filter val="Koin Latam"/>
            <filter val="ECPay"/>
            <filter val="Banco Estado de Chile"/>
            <filter val="2C2P / Ant Intl"/>
            <filter val="Airwallex APAC"/>
            <filter val="ByBit"/>
            <filter val="Emerchant Pay"/>
            <filter val="Avenia"/>
            <filter val="Nuvei"/>
            <filter val="Cleo"/>
            <filter val="Airwallex USA/ LATAM"/>
            <filter val="Moyasar"/>
            <filter val="Banco Mercantil"/>
            <filter val="Lian Lian"/>
            <filter val="CoinsPaid"/>
            <filter val="HSBC EU"/>
            <filter val="Iniciador"/>
            <filter val="MercadoPago BR"/>
            <filter val="Netstars"/>
            <filter val="Mollie"/>
            <filter val="Alignet"/>
            <filter val="DANA"/>
            <filter val="HitPay"/>
            <filter val="Glassdata"/>
            <filter val="Koin BR"/>
            <filter val="FacilitaPay"/>
            <filter val="Getnet BR"/>
            <filter val="Basis Theory"/>
            <filter val="Afirme"/>
            <filter val="Barclays PLC"/>
            <filter val="HSBC MX/ Global Payments"/>
            <filter val="Celcoin"/>
            <filter val="Banco BS2"/>
            <filter val="Bancontact"/>
            <filter val="Nuvei USA"/>
            <filter val="54pay/PayGate"/>
            <filter val="Bren"/>
            <filter val="Gueno"/>
            <filter val="Asaas"/>
            <filter val="Crypto.com"/>
            <filter val="Blumonpay"/>
            <filter val="BVNK"/>
            <filter val="Coda Payment"/>
            <filter val="Blik"/>
            <filter val="Iugu"/>
            <filter val="Fitbank"/>
            <filter val="Forter"/>
            <filter val="Banorte"/>
            <filter val="Gpay"/>
            <filter val="Jiko"/>
            <filter val="Limepay"/>
            <filter val="Floid"/>
            <filter val="Nexi"/>
            <filter val="Banco de Quyaquil"/>
            <filter val="Google A2A"/>
            <filter val="Kasikorn Global Payment"/>
            <filter val="INXY Payments"/>
            <filter val="NetPay"/>
            <filter val="Fidelity Marketing"/>
            <filter val="OpenPay Mexico"/>
            <filter val="IPSP.KZ"/>
            <filter val="AllinPay (International)"/>
            <filter val="American Express"/>
            <filter val="Jumio"/>
            <filter val="Notolityx (KYC)"/>
            <filter val="Carry1st"/>
            <filter val="ABSA Bank"/>
            <filter val="Banbajío"/>
            <filter val="Aiia by Mastercard"/>
            <filter val="Kamin"/>
            <filter val="Klap"/>
            <filter val="Pagar.me"/>
            <filter val="Banco Bradesco"/>
            <filter val="Banregio"/>
            <filter val="Multinet Up"/>
            <filter val="OpenCo"/>
            <filter val="Net Protections"/>
            <filter val="Fraudio"/>
            <filter val="Efevoo Pay"/>
            <filter val="Chargeflow"/>
            <filter val="Ingenico"/>
            <filter val="Moneris"/>
            <filter val="Pagalo"/>
            <filter val="Minka"/>
            <filter val="BBVA Colombia"/>
            <filter val="Korea Cyber Payment (KCP)"/>
            <filter val="Cashfree"/>
            <filter val="Medianet"/>
            <filter val="Doku"/>
            <filter val="Chargeback 911"/>
            <filter val="Google Pay"/>
            <filter val="Mastercard APAC"/>
            <filter val="Nomupay"/>
            <filter val="Itaú Unibanco"/>
            <filter val="Aplazo"/>
            <filter val="Bancolombia"/>
            <filter val="Papara"/>
            <filter val="Banco BHD Leon"/>
            <filter val="Galaxy"/>
            <filter val="Cielo"/>
            <filter val="OceanPay"/>
            <filter val="Izyco"/>
            <filter val="Kueski"/>
            <filter val="Ibex"/>
            <filter val="Nium"/>
            <filter val="Evo Payments"/>
            <filter val="Edenred"/>
            <filter val="Monoova"/>
            <filter val="iDeal"/>
            <filter val="Edenred TK"/>
            <filter val="Datafast"/>
            <filter val="Banco BV | Banly"/>
            <filter val="FEMSA - Oxxo Pay"/>
            <filter val="Nuvei EMEA"/>
            <filter val="Billdesk"/>
            <filter val="Bepsa (Bepsa del Paraguay SAEC)"/>
            <filter val="Lidio"/>
            <filter val="Clearpay"/>
            <filter val="Devtects"/>
            <filter val="Fexco"/>
            <filter val="Onfido (KYC)"/>
            <filter val="Mural Pay"/>
            <filter val="Mach Pay"/>
            <filter val="Comercia / CaixaBank (Redsys)"/>
            <filter val="HyperPay"/>
            <filter val="Global Payments"/>
            <filter val="MassPay"/>
            <filter val="MonedaPay"/>
            <filter val="DolarApp Pay"/>
            <filter val="Khipu"/>
            <filter val="NuPay"/>
            <filter val="Mobilepay / Vipps"/>
            <filter val="PagBank Brasil"/>
            <filter val="Azify"/>
            <filter val="Hipay"/>
            <filter val="Banco Rendimento"/>
            <filter val="Bank of America"/>
            <filter val="JP Morgan chase USA"/>
            <filter val="Amazon Pay"/>
            <filter val="FAC/Powertranz"/>
            <filter val="Fiserv APAC"/>
            <filter val="NODA"/>
            <filter val="ConnexPay"/>
            <filter val="Mastercard"/>
            <filter val="BTG Pactual BR"/>
            <filter val="Bank Frick"/>
            <filter val="Fiserv MX"/>
            <filter val="BlueSnap"/>
            <filter val="Network International"/>
            <filter val="BAZ / Banco Azteca"/>
            <filter val="Cobre"/>
            <filter val="Creditea"/>
            <filter val="Ebanx"/>
            <filter val="Pagaleve"/>
            <filter val="Inovio Gateway"/>
            <filter val="GetNet Global"/>
            <filter val="OKTO Payments"/>
            <filter val="Fiuu.com"/>
            <filter val="AsiaPay"/>
            <filter val="Boku Inc - New Deal"/>
            <filter val="Brite"/>
            <filter val="Boomfi"/>
          </filters>
        </filterColumn>
      </autoFilter>
    </customSheetView>
    <customSheetView guid="{01F4B8B3-4854-4333-BCBE-C01243E79D36}" filter="1" showAutoFilter="1">
      <autoFilter ref="$A$1:$AK$297"/>
    </customSheetView>
    <customSheetView guid="{3306A14F-9F02-4FDC-A5AE-0449D5218EEE}" filter="1" showAutoFilter="1">
      <autoFilter ref="$A$1:$AK$297">
        <filterColumn colId="18">
          <filters blank="1">
            <filter val="TRUE"/>
          </filters>
        </filterColumn>
        <sortState ref="A1:AK297">
          <sortCondition ref="A1:A297"/>
        </sortState>
      </autoFilter>
    </customSheetView>
    <customSheetView guid="{F9B5DF04-4385-47B9-B0ED-F1369241D337}" filter="1" showAutoFilter="1">
      <autoFilter ref="$A$1:$AK$297">
        <filterColumn colId="6">
          <filters>
            <filter val="Lily/ Daniela"/>
            <filter val="Not assigned"/>
            <filter val="Fran/Lily"/>
            <filter val="Alessandra Rospigliosi"/>
            <filter val="Johanderson Guevara"/>
            <filter val="Partha"/>
            <filter val="Francisco Quintana"/>
            <filter val="Daniela Reyes"/>
            <filter val="Ale/Lily"/>
            <filter val="Lily"/>
          </filters>
        </filterColumn>
        <filterColumn colId="19">
          <filters blank="1">
            <filter val="TRUE"/>
          </filters>
        </filterColumn>
      </autoFilter>
    </customSheetView>
    <customSheetView guid="{FA89BA65-3B7D-4491-8F0D-C6B47D39B30A}" filter="1" showAutoFilter="1">
      <autoFilter ref="$A$1:$AK$357">
        <filterColumn colId="6">
          <filters>
            <filter val="Lily/ Daniela"/>
            <filter val="Not assigned"/>
            <filter val="Fran/Lily"/>
            <filter val="Alessandra Rospigliosi"/>
            <filter val="Johanderson Guevara"/>
            <filter val="Partha"/>
            <filter val="Francisco Quintana"/>
            <filter val="Daniela Reyes"/>
            <filter val="Ale/Lily"/>
            <filter val="Lily"/>
          </filters>
        </filterColumn>
        <filterColumn colId="16">
          <filters blank="1">
            <filter val="FALSE"/>
          </filters>
        </filterColumn>
        <sortState ref="A1:AK357">
          <sortCondition ref="A1:A357"/>
        </sortState>
      </autoFilter>
    </customSheetView>
  </customSheetViews>
  <dataValidations>
    <dataValidation type="list" allowBlank="1" showErrorMessage="1" sqref="F2:F463">
      <formula1>"Account Management,Business Development"</formula1>
    </dataValidation>
    <dataValidation type="list" allowBlank="1" showErrorMessage="1" sqref="G5">
      <formula1>"Daniela Reyes,Alessandra Rospigliosi,Talita Diaz Gama,Johanderson Guevara,Francisco Quintana,Not assigned,Lily/ Daniela,Lily,Partha,Ale/Lily,Fran/Lily"</formula1>
    </dataValidation>
    <dataValidation type="list" allowBlank="1" showErrorMessage="1" sqref="G104">
      <formula1>"Catherine Kaupert,Mariana Castellanos,Chee,Franklin,Alessandra Rospigliosi,Talita Diaz Gama,Robert Oxley,Macarena Perez,Lost,Dominic Robinson,Johanderson Guevara"</formula1>
    </dataValidation>
    <dataValidation type="list" allowBlank="1" showErrorMessage="1" sqref="P129">
      <formula1>"Product Partners (Visa, MC, Clearsale),Tier 1 Partners (Global),Tier 2 Partners (Regional+Local),Tier 3 Partners (Non-Relevant),Strategic Partner"</formula1>
    </dataValidation>
    <dataValidation type="list" allowBlank="1" showErrorMessage="1" sqref="G2:G4 G6:G103 G105:G463">
      <formula1>"Daniela Reyes,Mariana Castellanos,Alessandra Rospigliosi,Talita Diaz Gama,Johanderson Guevara,Francisco Quintana,Not assigned,Lily/ Daniela,Lily,Partha,Ale/Lily,Fran/Lily"</formula1>
    </dataValidation>
    <dataValidation type="list" allowBlank="1" showErrorMessage="1" sqref="P2:P8 P10:P128 P130:P463">
      <formula1>"Product Partners (3Ds, Plugins)),Tier 1 Partners ,Tier 2 Partners,Tier 3 Partners,Strategic Partners: Very Important,Non-managed Partners"</formula1>
    </dataValidation>
    <dataValidation type="list" allowBlank="1" showErrorMessage="1" sqref="D2:D463">
      <formula1>"Agreement Review,Agreement Signed,Initial Negotiation,Live Partner,Lost,Non-qualified Partner,Opportunity Identification,Only to be integrated,Agreement Signed - Only referrals"</formula1>
    </dataValidation>
    <dataValidation type="list" allowBlank="1" showErrorMessage="1" sqref="P9">
      <formula1>"Strategic Partners (Needle Movers),Product Partners (Visa, MC, Clearsale),Tier 1 Partners (Global),Tier 2 Partners (Regional+Local),Tier 3 Partners (Non-Relevant)"</formula1>
    </dataValidation>
    <dataValidation type="list" allowBlank="1" showErrorMessage="1" sqref="E2:E463">
      <formula1>"Acquirer,APM,PSP/Aggregator,Fraud Provider,Plug-In,Other,3Ds Provider,BaaS"</formula1>
    </dataValidation>
  </dataValidations>
  <hyperlinks>
    <hyperlink r:id="rId4" ref="A57"/>
    <hyperlink r:id="rId5" ref="A112"/>
    <hyperlink r:id="rId6" ref="X143"/>
    <hyperlink r:id="rId7" ref="A169"/>
    <hyperlink r:id="rId8" ref="A203"/>
    <hyperlink r:id="rId9" ref="A289"/>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4.0"/>
    <col customWidth="1" min="3" max="3" width="6.75"/>
    <col customWidth="1" min="4" max="4" width="20.0"/>
    <col customWidth="1" min="5" max="5" width="10.25"/>
    <col customWidth="1" min="6" max="6" width="22.88"/>
    <col customWidth="1" min="7" max="7" width="20.38"/>
    <col customWidth="1" min="8" max="8" width="9.13"/>
    <col customWidth="1" min="9" max="9" width="16.88"/>
    <col customWidth="1" min="10" max="10" width="29.63"/>
    <col customWidth="1" min="11" max="11" width="28.0"/>
    <col customWidth="1" min="12" max="12" width="9.63"/>
    <col customWidth="1" min="13" max="13" width="12.38"/>
  </cols>
  <sheetData>
    <row r="1">
      <c r="A1" s="38" t="s">
        <v>48</v>
      </c>
      <c r="B1" s="38" t="s">
        <v>49</v>
      </c>
      <c r="C1" s="38" t="s">
        <v>50</v>
      </c>
      <c r="D1" s="39" t="s">
        <v>51</v>
      </c>
      <c r="E1" s="38" t="s">
        <v>52</v>
      </c>
      <c r="F1" s="38" t="s">
        <v>53</v>
      </c>
      <c r="G1" s="38" t="s">
        <v>54</v>
      </c>
      <c r="H1" s="39" t="s">
        <v>55</v>
      </c>
      <c r="I1" s="38" t="s">
        <v>63</v>
      </c>
      <c r="J1" s="38" t="s">
        <v>69</v>
      </c>
      <c r="K1" s="38" t="s">
        <v>747</v>
      </c>
      <c r="L1" s="38" t="s">
        <v>748</v>
      </c>
      <c r="M1" s="38" t="s">
        <v>749</v>
      </c>
      <c r="N1" s="38" t="s">
        <v>750</v>
      </c>
      <c r="O1" s="41"/>
      <c r="P1" s="41"/>
      <c r="Q1" s="41"/>
      <c r="R1" s="41"/>
      <c r="S1" s="41"/>
      <c r="T1" s="41"/>
      <c r="U1" s="41"/>
      <c r="V1" s="41"/>
      <c r="W1" s="41"/>
      <c r="X1" s="41"/>
    </row>
    <row r="2">
      <c r="A2" s="86" t="s">
        <v>751</v>
      </c>
      <c r="B2" s="87" t="s">
        <v>288</v>
      </c>
      <c r="C2" s="87" t="s">
        <v>752</v>
      </c>
      <c r="D2" s="87" t="s">
        <v>122</v>
      </c>
      <c r="E2" s="87" t="s">
        <v>82</v>
      </c>
      <c r="F2" s="87" t="s">
        <v>86</v>
      </c>
      <c r="G2" s="87" t="s">
        <v>15</v>
      </c>
      <c r="H2" s="88" t="s">
        <v>215</v>
      </c>
      <c r="I2" s="89" t="s">
        <v>87</v>
      </c>
      <c r="J2" s="87" t="s">
        <v>753</v>
      </c>
      <c r="K2" s="89" t="s">
        <v>754</v>
      </c>
      <c r="M2" s="14" t="b">
        <v>1</v>
      </c>
      <c r="N2" s="90" t="s">
        <v>750</v>
      </c>
    </row>
    <row r="3">
      <c r="A3" s="91" t="s">
        <v>737</v>
      </c>
      <c r="B3" s="91" t="s">
        <v>738</v>
      </c>
      <c r="C3" s="88" t="s">
        <v>752</v>
      </c>
      <c r="D3" s="88" t="s">
        <v>122</v>
      </c>
      <c r="E3" s="88" t="s">
        <v>101</v>
      </c>
      <c r="F3" s="88" t="s">
        <v>86</v>
      </c>
      <c r="G3" s="88" t="s">
        <v>15</v>
      </c>
      <c r="H3" s="88" t="s">
        <v>215</v>
      </c>
      <c r="I3" s="91" t="s">
        <v>87</v>
      </c>
      <c r="J3" s="91" t="s">
        <v>755</v>
      </c>
      <c r="K3" s="91" t="s">
        <v>756</v>
      </c>
    </row>
  </sheetData>
  <dataValidations>
    <dataValidation type="list" allowBlank="1" showErrorMessage="1" sqref="F2:F3">
      <formula1>"Account Management,Business Development"</formula1>
    </dataValidation>
    <dataValidation type="list" allowBlank="1" showErrorMessage="1" sqref="I2:I3">
      <formula1>"Product Partners (3Ds, Plugins)),Tier 1 Partners ,Tier 2 Partners,Tier 3 Partners,Strategic Partners: Very Important,Non-managed Partners"</formula1>
    </dataValidation>
    <dataValidation type="list" allowBlank="1" showErrorMessage="1" sqref="D2:D3">
      <formula1>"Agreement Review,Agreement Signed,Initial Negotiation,Live Partner,Lost,Non-qualified Partner,Opportunity Identification,Only to be integrated,Agreement Signed - Only referrals"</formula1>
    </dataValidation>
    <dataValidation type="list" allowBlank="1" showErrorMessage="1" sqref="G2:G3">
      <formula1>"Daniela Reyes,Mariana Castellanos,Franklin Lo,Alessandra Rospigliosi,Talita Diaz Gama,Johanderson Guevara,Francisco Quintana,Not assigned"</formula1>
    </dataValidation>
    <dataValidation type="list" allowBlank="1" showErrorMessage="1" sqref="E2:E3">
      <formula1>"Acquirer,APM,PSP/Aggregator,Fraud Provider,Plug-In,Other,3Ds Provider"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38"/>
  </cols>
  <sheetData>
    <row r="1"/>
    <row r="2"/>
    <row r="3"/>
    <row r="4"/>
    <row r="5"/>
    <row r="6"/>
    <row r="7"/>
    <row r="8"/>
    <row r="13">
      <c r="A13" s="92"/>
      <c r="B13" s="92" t="s">
        <v>81</v>
      </c>
      <c r="C13" s="92" t="s">
        <v>73</v>
      </c>
      <c r="D13" s="93" t="s">
        <v>759</v>
      </c>
      <c r="E13" s="92" t="s">
        <v>84</v>
      </c>
      <c r="F13" s="92" t="s">
        <v>72</v>
      </c>
      <c r="G13" s="92" t="s">
        <v>95</v>
      </c>
      <c r="H13" s="92" t="s">
        <v>110</v>
      </c>
    </row>
    <row r="14">
      <c r="A14" s="92" t="s">
        <v>85</v>
      </c>
      <c r="B14" s="92"/>
      <c r="C14" s="92">
        <v>5.0</v>
      </c>
      <c r="D14" s="92">
        <v>7.0</v>
      </c>
      <c r="E14" s="92">
        <v>27.0</v>
      </c>
      <c r="F14" s="92">
        <v>8.0</v>
      </c>
      <c r="G14" s="92">
        <v>25.0</v>
      </c>
      <c r="H14" s="93">
        <v>6.0</v>
      </c>
    </row>
    <row r="15">
      <c r="A15" s="92" t="s">
        <v>90</v>
      </c>
      <c r="B15" s="92"/>
      <c r="C15" s="92">
        <v>7.0</v>
      </c>
      <c r="D15" s="92">
        <v>3.0</v>
      </c>
      <c r="E15" s="92">
        <v>9.0</v>
      </c>
      <c r="F15" s="92">
        <v>11.0</v>
      </c>
      <c r="G15" s="92">
        <v>10.0</v>
      </c>
      <c r="H15" s="92">
        <v>5.0</v>
      </c>
    </row>
    <row r="16">
      <c r="A16" s="92" t="s">
        <v>122</v>
      </c>
      <c r="B16" s="92">
        <v>1.0</v>
      </c>
      <c r="C16" s="92">
        <v>19.0</v>
      </c>
      <c r="D16" s="92">
        <v>2.0</v>
      </c>
      <c r="E16" s="92">
        <v>19.0</v>
      </c>
      <c r="F16" s="92">
        <v>17.0</v>
      </c>
      <c r="G16" s="92">
        <v>6.0</v>
      </c>
      <c r="H16" s="92">
        <v>3.0</v>
      </c>
    </row>
    <row r="17">
      <c r="A17" s="92" t="s">
        <v>74</v>
      </c>
      <c r="B17" s="92">
        <v>4.0</v>
      </c>
      <c r="C17" s="92">
        <v>7.0</v>
      </c>
      <c r="D17" s="92">
        <v>13.0</v>
      </c>
      <c r="E17" s="92">
        <v>13.0</v>
      </c>
      <c r="F17" s="92">
        <v>43.0</v>
      </c>
      <c r="G17" s="92">
        <v>34.0</v>
      </c>
      <c r="H17" s="92">
        <v>14.0</v>
      </c>
    </row>
    <row r="18">
      <c r="A18" s="92" t="s">
        <v>100</v>
      </c>
      <c r="B18" s="92"/>
      <c r="C18" s="92">
        <v>3.0</v>
      </c>
      <c r="D18" s="92">
        <v>32.0</v>
      </c>
      <c r="E18" s="92">
        <v>1.0</v>
      </c>
      <c r="F18" s="92">
        <v>16.0</v>
      </c>
      <c r="G18" s="92">
        <v>11.0</v>
      </c>
      <c r="H18" s="92">
        <v>3.0</v>
      </c>
    </row>
  </sheetData>
  <drawing r:id="rId2"/>
</worksheet>
</file>